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haikshahid.ali\Downloads\"/>
    </mc:Choice>
  </mc:AlternateContent>
  <xr:revisionPtr revIDLastSave="0" documentId="13_ncr:1_{2C18097D-3D48-48E3-996A-603D0B9AA5E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Questions" sheetId="1" r:id="rId1"/>
    <sheet name="Student Data" sheetId="2" r:id="rId2"/>
    <sheet name="Q7" sheetId="11" r:id="rId3"/>
    <sheet name="Q3" sheetId="9" r:id="rId4"/>
    <sheet name="Q6" sheetId="10" r:id="rId5"/>
    <sheet name="Q2" sheetId="8" r:id="rId6"/>
    <sheet name="Q1" sheetId="7" r:id="rId7"/>
    <sheet name="Q11" sheetId="4" r:id="rId8"/>
    <sheet name="Q13" sheetId="6" r:id="rId9"/>
    <sheet name="Q12" sheetId="5" r:id="rId10"/>
    <sheet name="Answer Format -for Q12&amp;13" sheetId="3" r:id="rId11"/>
  </sheets>
  <definedNames>
    <definedName name="_xlnm._FilterDatabase" localSheetId="1" hidden="1">'Student Data'!$A$1:$L$1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1" l="1"/>
  <c r="S3" i="11"/>
  <c r="S4" i="11"/>
  <c r="S5" i="11"/>
  <c r="S2" i="1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" i="10"/>
  <c r="Q2" i="9"/>
  <c r="Q2" i="8"/>
  <c r="Q2" i="7"/>
  <c r="R18" i="6"/>
  <c r="R14" i="6"/>
  <c r="R16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" i="6"/>
  <c r="AA2" i="4"/>
  <c r="R15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6" i="6"/>
  <c r="U7" i="6"/>
  <c r="U3" i="6"/>
  <c r="U4" i="6"/>
  <c r="U5" i="6"/>
  <c r="U2" i="6"/>
  <c r="W2" i="4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" i="6"/>
  <c r="X2" i="4"/>
  <c r="R13" i="6"/>
  <c r="R12" i="6"/>
  <c r="Q14" i="5"/>
  <c r="Q17" i="5"/>
  <c r="Q16" i="5"/>
  <c r="Q15" i="5"/>
  <c r="R18" i="5"/>
  <c r="R14" i="5"/>
  <c r="R15" i="5"/>
  <c r="R17" i="5"/>
  <c r="R16" i="5"/>
  <c r="W3" i="4"/>
  <c r="W4" i="4"/>
  <c r="P16" i="5"/>
  <c r="P18" i="5" s="1"/>
  <c r="P17" i="5"/>
  <c r="P15" i="5"/>
  <c r="P14" i="5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13" i="4"/>
  <c r="X14" i="4"/>
  <c r="X15" i="4"/>
  <c r="X16" i="4"/>
  <c r="X17" i="4"/>
  <c r="X18" i="4"/>
  <c r="X19" i="4"/>
  <c r="X20" i="4"/>
  <c r="X21" i="4"/>
  <c r="X22" i="4"/>
  <c r="X23" i="4"/>
  <c r="X24" i="4"/>
  <c r="X3" i="4"/>
  <c r="X4" i="4"/>
  <c r="X5" i="4"/>
  <c r="X6" i="4"/>
  <c r="X7" i="4"/>
  <c r="X8" i="4"/>
  <c r="X9" i="4"/>
  <c r="X10" i="4"/>
  <c r="X11" i="4"/>
  <c r="X12" i="4"/>
  <c r="Z2" i="4" l="1"/>
</calcChain>
</file>

<file path=xl/sharedStrings.xml><?xml version="1.0" encoding="utf-8"?>
<sst xmlns="http://schemas.openxmlformats.org/spreadsheetml/2006/main" count="11656" uniqueCount="552">
  <si>
    <t xml:space="preserve">EXCEL PRACTICAL TEST </t>
  </si>
  <si>
    <t>•  Duration: 60 minutes   |   Total Marks: 25   (Section A: 10 × 1 = 10   |   Section B: 3 questions × 5 marks = 15)</t>
  </si>
  <si>
    <t>•  Data: 'Student Data' sheet – 250 students, columns A–L, rows 2–251. Do not sort, edit or delete the raw data in A–L. Lookup tables: Grade table X1:Y7 and Branch–HOD table AA1:AB6.</t>
  </si>
  <si>
    <t>•  Wherever a new column is asked for, add it to the right of the data (from column M onwards, in the order of the questions) with the exact header given.</t>
  </si>
  <si>
    <t>•  Use formulas for every calculation and cover all 250 rows</t>
  </si>
  <si>
    <t>SECTION A – 10 Questions × 1 Mark = 10 Marks</t>
  </si>
  <si>
    <t>Q.No</t>
  </si>
  <si>
    <t>Marks</t>
  </si>
  <si>
    <t>Task</t>
  </si>
  <si>
    <t>Q1</t>
  </si>
  <si>
    <t>Using COUNTIF, find how many students have an Attendance below 75%.</t>
  </si>
  <si>
    <t>Q2</t>
  </si>
  <si>
    <t>Find the average Programming mark of Female students. Round the result to 2 decimals.</t>
  </si>
  <si>
    <t>Q3</t>
  </si>
  <si>
    <t>Using COUNTIFS, count the ECE students who scored 80 or more in Maths.</t>
  </si>
  <si>
    <t>Q4</t>
  </si>
  <si>
    <t>Add a column 'Initials' that shows the first letter of the first name and the first letter of the last name, each followed by a full stop. (Rahul Patel → R.P.)  Fill down for all students.</t>
  </si>
  <si>
    <t>Q5</t>
  </si>
  <si>
    <t>Add a column 'Years Since Admission' showing the number of completed years from Admission Date up to 31-Oct-2026. (A student admitted on 20-Jul-2022 → 4)</t>
  </si>
  <si>
    <t>Q6</t>
  </si>
  <si>
    <t>Add a column 'Attendance Status': "Excellent" if Attendance is 90 or more, "Satisfactory" if 75 or more (but below 90), otherwise "Shortage".</t>
  </si>
  <si>
    <t>Q7</t>
  </si>
  <si>
    <t>Add a column 'HOD' that returns the Head of Department of each student's Branch from the Branch–HOD table (AA1:AB6), using an exact-match lookup.</t>
  </si>
  <si>
    <t>Q8</t>
  </si>
  <si>
    <t>What percentage of all students stay in the Hostel? Show the answer as a percentage with 1 decimal.</t>
  </si>
  <si>
    <t>Q9</t>
  </si>
  <si>
    <t>Apply Conditional Formatting so that the 5 highest Programming marks (I2:I251) are shown with a green fill.</t>
  </si>
  <si>
    <t>Q10</t>
  </si>
  <si>
    <t>Freeze the header row of 'Student Data' and switch on AutoFilter for the data range A1:L251.</t>
  </si>
  <si>
    <t xml:space="preserve">SECTION B – 3 Questions × 5 Marks = 15 Marks  </t>
  </si>
  <si>
    <t>Q11.  Result Processing   [5 Marks]</t>
  </si>
  <si>
    <t>Q11 (i)</t>
  </si>
  <si>
    <t>Add two columns: 'Total' = Maths + Physics + Programming + English, and 'Percentage' = Total ÷ 400 × 100, rounded to 2 decimals (stored as a number, e.g. 72.25).</t>
  </si>
  <si>
    <t>Q11 (ii)</t>
  </si>
  <si>
    <t>Add a column 'Grade': using the Grade table (X1:Y7), return the grade that matches each student's Percentage (approximate-match lookup).</t>
  </si>
  <si>
    <t>Q11 (iii)</t>
  </si>
  <si>
    <t>Add a column 'Result': return "Pass" only if the student has scored at least 35 in EACH of the four subjects AND has Attendance of 75 or more; otherwise return "Fail".</t>
  </si>
  <si>
    <t>Q11 (iv)</t>
  </si>
  <si>
    <t>Add a column 'Rank': the rank of each student by Total among all 250 students (highest Total = Rank 1).</t>
  </si>
  <si>
    <t>Q12.  Branch Performance Summary   [5 Marks] - (*See answer format - for Q12&amp;13 sheet for the format)</t>
  </si>
  <si>
    <t>Q12 (i)</t>
  </si>
  <si>
    <t>In the Q12 table on the Answer Sheet, fill C18:C22 with the number of students in each branch.</t>
  </si>
  <si>
    <t>Q12 (ii)</t>
  </si>
  <si>
    <t>Fill D18:D22 with the average Total of each branch, rounded to 1 decimal.</t>
  </si>
  <si>
    <t>Q12 (iii)</t>
  </si>
  <si>
    <t>Fill E18:E22 with the Pass % of each branch (students with Result = Pass ÷ students in the branch), shown as a percentage with 1 decimal.</t>
  </si>
  <si>
    <t>Q12 (iv)</t>
  </si>
  <si>
    <t>Create a column chart of Pass % by branch (B17:B22 and E17:E22) with a chart title, both axis titles and data labels. Place it near the table  on the Answer Sheet.</t>
  </si>
  <si>
    <t>Q13. Student Lookup Card (*See answer format - for Q12&amp;13 sheet for the format)</t>
  </si>
  <si>
    <t>Q13 (i)</t>
  </si>
  <si>
    <t>In cell C26 create a drop-down list (Data Validation) that lists all Student IDs from 'Student Data' A2:A251.</t>
  </si>
  <si>
    <t>Q13 (ii)</t>
  </si>
  <si>
    <t>Using INDEX + MATCH on the selected Student ID, show the Student Name (C27), Branch (C28) and Residence (C29).</t>
  </si>
  <si>
    <t>Q13 (iii)</t>
  </si>
  <si>
    <t>In the same way show Total (C30), Percentage (C31), Grade (C32) and Result (C33) using the columns created in Q11.</t>
  </si>
  <si>
    <t>Q13 (iv)</t>
  </si>
  <si>
    <t>Apply Conditional Formatting to C33 so that "Pass" appears with a green fill and "Fail" with a red fill.</t>
  </si>
  <si>
    <t>Student ID</t>
  </si>
  <si>
    <t>Student Name</t>
  </si>
  <si>
    <t>Branch</t>
  </si>
  <si>
    <t>Gender</t>
  </si>
  <si>
    <t>Residence</t>
  </si>
  <si>
    <t>Admission Date</t>
  </si>
  <si>
    <t>Maths</t>
  </si>
  <si>
    <t>Physics</t>
  </si>
  <si>
    <t>Programming</t>
  </si>
  <si>
    <t>English</t>
  </si>
  <si>
    <t>Attendance (%)</t>
  </si>
  <si>
    <t>Scholarship (₹)</t>
  </si>
  <si>
    <t>Min Percentage</t>
  </si>
  <si>
    <t>Grade</t>
  </si>
  <si>
    <t>HOD</t>
  </si>
  <si>
    <t>S2201</t>
  </si>
  <si>
    <t>Varun Mehta</t>
  </si>
  <si>
    <t>Mechanical</t>
  </si>
  <si>
    <t>Male</t>
  </si>
  <si>
    <t>Day Scholar</t>
  </si>
  <si>
    <t>F</t>
  </si>
  <si>
    <t>CSE</t>
  </si>
  <si>
    <t>Dr. Rao</t>
  </si>
  <si>
    <t>S2202</t>
  </si>
  <si>
    <t>Meera Singh</t>
  </si>
  <si>
    <t>Female</t>
  </si>
  <si>
    <t>Hostel</t>
  </si>
  <si>
    <t>D</t>
  </si>
  <si>
    <t>ECE</t>
  </si>
  <si>
    <t>Dr. Iyer</t>
  </si>
  <si>
    <t>S2203</t>
  </si>
  <si>
    <t>Neha Reddy</t>
  </si>
  <si>
    <t>EEE</t>
  </si>
  <si>
    <t>C</t>
  </si>
  <si>
    <t>Dr. Khan</t>
  </si>
  <si>
    <t>S2204</t>
  </si>
  <si>
    <t>Swati Das</t>
  </si>
  <si>
    <t>B</t>
  </si>
  <si>
    <t>Civil</t>
  </si>
  <si>
    <t>Dr. Nair</t>
  </si>
  <si>
    <t>S2205</t>
  </si>
  <si>
    <t>Lakshmi Verma</t>
  </si>
  <si>
    <t>A</t>
  </si>
  <si>
    <t>Dr. Das</t>
  </si>
  <si>
    <t>S2206</t>
  </si>
  <si>
    <t>Lakshmi Joshi</t>
  </si>
  <si>
    <t>O</t>
  </si>
  <si>
    <t>S2207</t>
  </si>
  <si>
    <t>Rahul Bose</t>
  </si>
  <si>
    <t>S2208</t>
  </si>
  <si>
    <t>Ritu Verma</t>
  </si>
  <si>
    <t>Grade table: X1:Y7 (approximate-match lookup)   |   Branch–HOD table: AA1:AB6 (exact-match lookup)</t>
  </si>
  <si>
    <t>S2209</t>
  </si>
  <si>
    <t>Rohan Iyer</t>
  </si>
  <si>
    <t>S2210</t>
  </si>
  <si>
    <t>Sneha Menon</t>
  </si>
  <si>
    <t>S2211</t>
  </si>
  <si>
    <t>Priya Kumar</t>
  </si>
  <si>
    <t>S2212</t>
  </si>
  <si>
    <t>Manoj Desai</t>
  </si>
  <si>
    <t>S2213</t>
  </si>
  <si>
    <t>Lakshmi Mehta</t>
  </si>
  <si>
    <t>S2214</t>
  </si>
  <si>
    <t>Kavya Nair</t>
  </si>
  <si>
    <t>S2215</t>
  </si>
  <si>
    <t>Deepak Bose</t>
  </si>
  <si>
    <t>S2216</t>
  </si>
  <si>
    <t>Anjali Iyer</t>
  </si>
  <si>
    <t>S2217</t>
  </si>
  <si>
    <t>Nandini Das</t>
  </si>
  <si>
    <t>S2218</t>
  </si>
  <si>
    <t>Pooja Patel</t>
  </si>
  <si>
    <t>S2219</t>
  </si>
  <si>
    <t>Aarav Joshi</t>
  </si>
  <si>
    <t>S2220</t>
  </si>
  <si>
    <t>Arjun Sharma</t>
  </si>
  <si>
    <t>S2221</t>
  </si>
  <si>
    <t>Pooja Kulkarni</t>
  </si>
  <si>
    <t>S2222</t>
  </si>
  <si>
    <t>Harsh Reddy</t>
  </si>
  <si>
    <t>S2223</t>
  </si>
  <si>
    <t>Manoj Shah</t>
  </si>
  <si>
    <t>S2224</t>
  </si>
  <si>
    <t>Suresh Mehta</t>
  </si>
  <si>
    <t>S2225</t>
  </si>
  <si>
    <t>Nikhil Reddy</t>
  </si>
  <si>
    <t>S2226</t>
  </si>
  <si>
    <t>Ananya Singh</t>
  </si>
  <si>
    <t>S2227</t>
  </si>
  <si>
    <t>Divya Sharma</t>
  </si>
  <si>
    <t>S2228</t>
  </si>
  <si>
    <t>Isha Rao</t>
  </si>
  <si>
    <t>S2229</t>
  </si>
  <si>
    <t>Kavya Rao</t>
  </si>
  <si>
    <t>S2230</t>
  </si>
  <si>
    <t>Gaurav Rao</t>
  </si>
  <si>
    <t>S2231</t>
  </si>
  <si>
    <t>Tanvi Bose</t>
  </si>
  <si>
    <t>S2232</t>
  </si>
  <si>
    <t>Aarav Desai</t>
  </si>
  <si>
    <t>S2233</t>
  </si>
  <si>
    <t>Sanjay Rao</t>
  </si>
  <si>
    <t>S2234</t>
  </si>
  <si>
    <t>Swati Desai</t>
  </si>
  <si>
    <t>S2235</t>
  </si>
  <si>
    <t>Vikram Patel</t>
  </si>
  <si>
    <t>S2236</t>
  </si>
  <si>
    <t>Tanvi Das</t>
  </si>
  <si>
    <t>S2237</t>
  </si>
  <si>
    <t>Priya Kulkarni</t>
  </si>
  <si>
    <t>S2238</t>
  </si>
  <si>
    <t>Vikram Shah</t>
  </si>
  <si>
    <t>S2239</t>
  </si>
  <si>
    <t>S2240</t>
  </si>
  <si>
    <t>Nikhil Kulkarni</t>
  </si>
  <si>
    <t>S2241</t>
  </si>
  <si>
    <t>Aditya Verma</t>
  </si>
  <si>
    <t>S2242</t>
  </si>
  <si>
    <t>Priya Gupta</t>
  </si>
  <si>
    <t>S2243</t>
  </si>
  <si>
    <t>Sanjay Patel</t>
  </si>
  <si>
    <t>S2244</t>
  </si>
  <si>
    <t>Isha Das</t>
  </si>
  <si>
    <t>S2245</t>
  </si>
  <si>
    <t>Varun Shah</t>
  </si>
  <si>
    <t>S2246</t>
  </si>
  <si>
    <t>Isha Desai</t>
  </si>
  <si>
    <t>S2247</t>
  </si>
  <si>
    <t>Suresh Iyer</t>
  </si>
  <si>
    <t>S2248</t>
  </si>
  <si>
    <t>Manoj Kulkarni</t>
  </si>
  <si>
    <t>S2249</t>
  </si>
  <si>
    <t>Isha Bose</t>
  </si>
  <si>
    <t>S2250</t>
  </si>
  <si>
    <t>Neha Sharma</t>
  </si>
  <si>
    <t>S2251</t>
  </si>
  <si>
    <t>Nandini Bose</t>
  </si>
  <si>
    <t>S2252</t>
  </si>
  <si>
    <t>Ananya Nair</t>
  </si>
  <si>
    <t>S2253</t>
  </si>
  <si>
    <t>Rohan Joshi</t>
  </si>
  <si>
    <t>S2254</t>
  </si>
  <si>
    <t>S2255</t>
  </si>
  <si>
    <t>Gaurav Reddy</t>
  </si>
  <si>
    <t>S2256</t>
  </si>
  <si>
    <t>Sanjay Bose</t>
  </si>
  <si>
    <t>S2257</t>
  </si>
  <si>
    <t>Sneha Mehta</t>
  </si>
  <si>
    <t>S2258</t>
  </si>
  <si>
    <t>Vikram Nair</t>
  </si>
  <si>
    <t>S2259</t>
  </si>
  <si>
    <t>Deepak Shah</t>
  </si>
  <si>
    <t>S2260</t>
  </si>
  <si>
    <t>Ritu Mehta</t>
  </si>
  <si>
    <t>S2261</t>
  </si>
  <si>
    <t>Aarav Iyer</t>
  </si>
  <si>
    <t>S2262</t>
  </si>
  <si>
    <t>Sneha Verma</t>
  </si>
  <si>
    <t>S2263</t>
  </si>
  <si>
    <t>Priya Sharma</t>
  </si>
  <si>
    <t>S2264</t>
  </si>
  <si>
    <t>Deepak Desai</t>
  </si>
  <si>
    <t>S2265</t>
  </si>
  <si>
    <t>Ritu Iyer</t>
  </si>
  <si>
    <t>S2266</t>
  </si>
  <si>
    <t>Isha Nair</t>
  </si>
  <si>
    <t>S2267</t>
  </si>
  <si>
    <t>Sanjay Sharma</t>
  </si>
  <si>
    <t>S2268</t>
  </si>
  <si>
    <t>Manoj Singh</t>
  </si>
  <si>
    <t>S2269</t>
  </si>
  <si>
    <t>Gaurav Desai</t>
  </si>
  <si>
    <t>S2270</t>
  </si>
  <si>
    <t>Karthik Das</t>
  </si>
  <si>
    <t>S2271</t>
  </si>
  <si>
    <t>Aditya Shah</t>
  </si>
  <si>
    <t>S2272</t>
  </si>
  <si>
    <t>Meera Desai</t>
  </si>
  <si>
    <t>S2273</t>
  </si>
  <si>
    <t>Karthik Iyer</t>
  </si>
  <si>
    <t>S2274</t>
  </si>
  <si>
    <t>Priya Desai</t>
  </si>
  <si>
    <t>S2275</t>
  </si>
  <si>
    <t>Harsh Menon</t>
  </si>
  <si>
    <t>S2276</t>
  </si>
  <si>
    <t>Aarav Shah</t>
  </si>
  <si>
    <t>S2277</t>
  </si>
  <si>
    <t>Swati Shah</t>
  </si>
  <si>
    <t>S2278</t>
  </si>
  <si>
    <t>Sneha Sharma</t>
  </si>
  <si>
    <t>S2279</t>
  </si>
  <si>
    <t>S2280</t>
  </si>
  <si>
    <t>Pooja Menon</t>
  </si>
  <si>
    <t>S2281</t>
  </si>
  <si>
    <t>Manoj Verma</t>
  </si>
  <si>
    <t>S2282</t>
  </si>
  <si>
    <t>Rohan Menon</t>
  </si>
  <si>
    <t>S2283</t>
  </si>
  <si>
    <t>S2284</t>
  </si>
  <si>
    <t>Gaurav Bose</t>
  </si>
  <si>
    <t>S2285</t>
  </si>
  <si>
    <t>S2286</t>
  </si>
  <si>
    <t>Rohan Rao</t>
  </si>
  <si>
    <t>S2287</t>
  </si>
  <si>
    <t>Swati Patel</t>
  </si>
  <si>
    <t>S2288</t>
  </si>
  <si>
    <t>Tanvi Rao</t>
  </si>
  <si>
    <t>S2289</t>
  </si>
  <si>
    <t>Rahul Shah</t>
  </si>
  <si>
    <t>S2290</t>
  </si>
  <si>
    <t>S2291</t>
  </si>
  <si>
    <t>Ritu Kulkarni</t>
  </si>
  <si>
    <t>S2292</t>
  </si>
  <si>
    <t>Ritu Joshi</t>
  </si>
  <si>
    <t>S2293</t>
  </si>
  <si>
    <t>Karthik Reddy</t>
  </si>
  <si>
    <t>S2294</t>
  </si>
  <si>
    <t>Rohan Desai</t>
  </si>
  <si>
    <t>S2295</t>
  </si>
  <si>
    <t>Anjali Kumar</t>
  </si>
  <si>
    <t>S2296</t>
  </si>
  <si>
    <t>Priya Das</t>
  </si>
  <si>
    <t>S2297</t>
  </si>
  <si>
    <t>Tanvi Joshi</t>
  </si>
  <si>
    <t>S2298</t>
  </si>
  <si>
    <t>Nikhil Singh</t>
  </si>
  <si>
    <t>S2299</t>
  </si>
  <si>
    <t>S2300</t>
  </si>
  <si>
    <t>Anjali Desai</t>
  </si>
  <si>
    <t>S2301</t>
  </si>
  <si>
    <t>Aditya Patel</t>
  </si>
  <si>
    <t>S2302</t>
  </si>
  <si>
    <t>Nandini Verma</t>
  </si>
  <si>
    <t>S2303</t>
  </si>
  <si>
    <t>S2304</t>
  </si>
  <si>
    <t>Kavya Sharma</t>
  </si>
  <si>
    <t>S2305</t>
  </si>
  <si>
    <t>Harsh Patel</t>
  </si>
  <si>
    <t>S2306</t>
  </si>
  <si>
    <t>Kavya Gupta</t>
  </si>
  <si>
    <t>S2307</t>
  </si>
  <si>
    <t>S2308</t>
  </si>
  <si>
    <t>Neha Shah</t>
  </si>
  <si>
    <t>S2309</t>
  </si>
  <si>
    <t>S2310</t>
  </si>
  <si>
    <t>Anjali Menon</t>
  </si>
  <si>
    <t>S2311</t>
  </si>
  <si>
    <t>Vikram Desai</t>
  </si>
  <si>
    <t>S2312</t>
  </si>
  <si>
    <t>S2313</t>
  </si>
  <si>
    <t>Meera Gupta</t>
  </si>
  <si>
    <t>S2314</t>
  </si>
  <si>
    <t>Meera Verma</t>
  </si>
  <si>
    <t>S2315</t>
  </si>
  <si>
    <t>Karthik Desai</t>
  </si>
  <si>
    <t>S2316</t>
  </si>
  <si>
    <t>S2317</t>
  </si>
  <si>
    <t>Pooja Kumar</t>
  </si>
  <si>
    <t>S2318</t>
  </si>
  <si>
    <t>Ananya Gupta</t>
  </si>
  <si>
    <t>S2319</t>
  </si>
  <si>
    <t>Harsh Nair</t>
  </si>
  <si>
    <t>S2320</t>
  </si>
  <si>
    <t>Aarav Bose</t>
  </si>
  <si>
    <t>S2321</t>
  </si>
  <si>
    <t>Nikhil Joshi</t>
  </si>
  <si>
    <t>S2322</t>
  </si>
  <si>
    <t>Pooja Sharma</t>
  </si>
  <si>
    <t>S2323</t>
  </si>
  <si>
    <t>Priya Reddy</t>
  </si>
  <si>
    <t>S2324</t>
  </si>
  <si>
    <t>Vikram Joshi</t>
  </si>
  <si>
    <t>S2325</t>
  </si>
  <si>
    <t>Nikhil Kumar</t>
  </si>
  <si>
    <t>S2326</t>
  </si>
  <si>
    <t>Manoj Das</t>
  </si>
  <si>
    <t>S2327</t>
  </si>
  <si>
    <t>Lakshmi Gupta</t>
  </si>
  <si>
    <t>S2328</t>
  </si>
  <si>
    <t>S2329</t>
  </si>
  <si>
    <t>Ritu Singh</t>
  </si>
  <si>
    <t>S2330</t>
  </si>
  <si>
    <t>Harsh Iyer</t>
  </si>
  <si>
    <t>S2331</t>
  </si>
  <si>
    <t>S2332</t>
  </si>
  <si>
    <t>S2333</t>
  </si>
  <si>
    <t>Swati Verma</t>
  </si>
  <si>
    <t>S2334</t>
  </si>
  <si>
    <t>Suresh Nair</t>
  </si>
  <si>
    <t>S2335</t>
  </si>
  <si>
    <t>Ananya Patel</t>
  </si>
  <si>
    <t>S2336</t>
  </si>
  <si>
    <t>S2337</t>
  </si>
  <si>
    <t>Karthik Singh</t>
  </si>
  <si>
    <t>S2338</t>
  </si>
  <si>
    <t>Lakshmi Iyer</t>
  </si>
  <si>
    <t>S2339</t>
  </si>
  <si>
    <t>Anjali Singh</t>
  </si>
  <si>
    <t>S2340</t>
  </si>
  <si>
    <t>Kavya Kumar</t>
  </si>
  <si>
    <t>S2341</t>
  </si>
  <si>
    <t>Sanjay Menon</t>
  </si>
  <si>
    <t>S2342</t>
  </si>
  <si>
    <t>Nikhil Nair</t>
  </si>
  <si>
    <t>S2343</t>
  </si>
  <si>
    <t>S2344</t>
  </si>
  <si>
    <t>Ritu Nair</t>
  </si>
  <si>
    <t>S2345</t>
  </si>
  <si>
    <t>Suresh Patel</t>
  </si>
  <si>
    <t>S2346</t>
  </si>
  <si>
    <t>S2347</t>
  </si>
  <si>
    <t>Priya Iyer</t>
  </si>
  <si>
    <t>S2348</t>
  </si>
  <si>
    <t>Swati Sharma</t>
  </si>
  <si>
    <t>S2349</t>
  </si>
  <si>
    <t>Aarav Kumar</t>
  </si>
  <si>
    <t>S2350</t>
  </si>
  <si>
    <t>Nikhil Iyer</t>
  </si>
  <si>
    <t>S2351</t>
  </si>
  <si>
    <t>S2352</t>
  </si>
  <si>
    <t>Deepak Kulkarni</t>
  </si>
  <si>
    <t>S2353</t>
  </si>
  <si>
    <t>Meera Iyer</t>
  </si>
  <si>
    <t>S2354</t>
  </si>
  <si>
    <t>Tanvi Menon</t>
  </si>
  <si>
    <t>S2355</t>
  </si>
  <si>
    <t>Vikram Bose</t>
  </si>
  <si>
    <t>S2356</t>
  </si>
  <si>
    <t>S2357</t>
  </si>
  <si>
    <t>Anjali Shah</t>
  </si>
  <si>
    <t>S2358</t>
  </si>
  <si>
    <t>Arjun Menon</t>
  </si>
  <si>
    <t>S2359</t>
  </si>
  <si>
    <t>Ananya Bose</t>
  </si>
  <si>
    <t>S2360</t>
  </si>
  <si>
    <t>Nandini Mehta</t>
  </si>
  <si>
    <t>S2361</t>
  </si>
  <si>
    <t>S2362</t>
  </si>
  <si>
    <t>S2363</t>
  </si>
  <si>
    <t>S2364</t>
  </si>
  <si>
    <t>Kavya Iyer</t>
  </si>
  <si>
    <t>S2365</t>
  </si>
  <si>
    <t>Ritu Reddy</t>
  </si>
  <si>
    <t>S2366</t>
  </si>
  <si>
    <t>Sneha Gupta</t>
  </si>
  <si>
    <t>S2367</t>
  </si>
  <si>
    <t>S2368</t>
  </si>
  <si>
    <t>Priya Menon</t>
  </si>
  <si>
    <t>S2369</t>
  </si>
  <si>
    <t>Manoj Patel</t>
  </si>
  <si>
    <t>S2370</t>
  </si>
  <si>
    <t>Rohan Nair</t>
  </si>
  <si>
    <t>S2371</t>
  </si>
  <si>
    <t>S2372</t>
  </si>
  <si>
    <t>S2373</t>
  </si>
  <si>
    <t>Neha Kumar</t>
  </si>
  <si>
    <t>S2374</t>
  </si>
  <si>
    <t>Nandini Reddy</t>
  </si>
  <si>
    <t>S2375</t>
  </si>
  <si>
    <t>Divya Joshi</t>
  </si>
  <si>
    <t>S2376</t>
  </si>
  <si>
    <t>S2377</t>
  </si>
  <si>
    <t>Ritu Shah</t>
  </si>
  <si>
    <t>S2378</t>
  </si>
  <si>
    <t>Ritu Rao</t>
  </si>
  <si>
    <t>S2379</t>
  </si>
  <si>
    <t>Ananya Reddy</t>
  </si>
  <si>
    <t>S2380</t>
  </si>
  <si>
    <t>S2381</t>
  </si>
  <si>
    <t>Swati Gupta</t>
  </si>
  <si>
    <t>S2382</t>
  </si>
  <si>
    <t>Pooja Verma</t>
  </si>
  <si>
    <t>S2383</t>
  </si>
  <si>
    <t>S2384</t>
  </si>
  <si>
    <t>S2385</t>
  </si>
  <si>
    <t>S2386</t>
  </si>
  <si>
    <t>Rahul Joshi</t>
  </si>
  <si>
    <t>S2387</t>
  </si>
  <si>
    <t>Gaurav Nair</t>
  </si>
  <si>
    <t>S2388</t>
  </si>
  <si>
    <t>Nikhil Sharma</t>
  </si>
  <si>
    <t>S2389</t>
  </si>
  <si>
    <t>Ananya Mehta</t>
  </si>
  <si>
    <t>S2390</t>
  </si>
  <si>
    <t>S2391</t>
  </si>
  <si>
    <t>Deepak Menon</t>
  </si>
  <si>
    <t>S2392</t>
  </si>
  <si>
    <t>S2393</t>
  </si>
  <si>
    <t>S2394</t>
  </si>
  <si>
    <t>Kavya Joshi</t>
  </si>
  <si>
    <t>S2395</t>
  </si>
  <si>
    <t>Sneha Kulkarni</t>
  </si>
  <si>
    <t>S2396</t>
  </si>
  <si>
    <t>S2397</t>
  </si>
  <si>
    <t>S2398</t>
  </si>
  <si>
    <t>Kavya Das</t>
  </si>
  <si>
    <t>S2399</t>
  </si>
  <si>
    <t>Sanjay Singh</t>
  </si>
  <si>
    <t>S2400</t>
  </si>
  <si>
    <t>Gaurav Patel</t>
  </si>
  <si>
    <t>S2401</t>
  </si>
  <si>
    <t>Aarav Singh</t>
  </si>
  <si>
    <t>S2402</t>
  </si>
  <si>
    <t>Vikram Menon</t>
  </si>
  <si>
    <t>S2403</t>
  </si>
  <si>
    <t>Ritu Bose</t>
  </si>
  <si>
    <t>S2404</t>
  </si>
  <si>
    <t>Karthik Gupta</t>
  </si>
  <si>
    <t>S2405</t>
  </si>
  <si>
    <t>Pooja Reddy</t>
  </si>
  <si>
    <t>S2406</t>
  </si>
  <si>
    <t>Karthik Kulkarni</t>
  </si>
  <si>
    <t>S2407</t>
  </si>
  <si>
    <t>S2408</t>
  </si>
  <si>
    <t>Varun Menon</t>
  </si>
  <si>
    <t>S2409</t>
  </si>
  <si>
    <t>S2410</t>
  </si>
  <si>
    <t>S2411</t>
  </si>
  <si>
    <t>Divya Reddy</t>
  </si>
  <si>
    <t>S2412</t>
  </si>
  <si>
    <t>S2413</t>
  </si>
  <si>
    <t>Aditya Joshi</t>
  </si>
  <si>
    <t>S2414</t>
  </si>
  <si>
    <t>Karthik Bose</t>
  </si>
  <si>
    <t>S2415</t>
  </si>
  <si>
    <t>S2416</t>
  </si>
  <si>
    <t>Divya Menon</t>
  </si>
  <si>
    <t>S2417</t>
  </si>
  <si>
    <t>Ritu Desai</t>
  </si>
  <si>
    <t>S2418</t>
  </si>
  <si>
    <t>S2419</t>
  </si>
  <si>
    <t>Gaurav Joshi</t>
  </si>
  <si>
    <t>S2420</t>
  </si>
  <si>
    <t>S2421</t>
  </si>
  <si>
    <t>S2422</t>
  </si>
  <si>
    <t>S2423</t>
  </si>
  <si>
    <t>S2424</t>
  </si>
  <si>
    <t>Varun Verma</t>
  </si>
  <si>
    <t>S2425</t>
  </si>
  <si>
    <t>Nikhil Shah</t>
  </si>
  <si>
    <t>S2426</t>
  </si>
  <si>
    <t>S2427</t>
  </si>
  <si>
    <t>Ananya Rao</t>
  </si>
  <si>
    <t>S2428</t>
  </si>
  <si>
    <t>Sneha Shah</t>
  </si>
  <si>
    <t>S2429</t>
  </si>
  <si>
    <t>Nandini Desai</t>
  </si>
  <si>
    <t>S2430</t>
  </si>
  <si>
    <t>Nikhil Gupta</t>
  </si>
  <si>
    <t>S2431</t>
  </si>
  <si>
    <t>Nandini Menon</t>
  </si>
  <si>
    <t>S2432</t>
  </si>
  <si>
    <t>Ritu Kumar</t>
  </si>
  <si>
    <t>S2433</t>
  </si>
  <si>
    <t>S2434</t>
  </si>
  <si>
    <t>Isha Patel</t>
  </si>
  <si>
    <t>S2435</t>
  </si>
  <si>
    <t>S2436</t>
  </si>
  <si>
    <t>Rahul Menon</t>
  </si>
  <si>
    <t>S2437</t>
  </si>
  <si>
    <t>S2438</t>
  </si>
  <si>
    <t>Varun Iyer</t>
  </si>
  <si>
    <t>S2439</t>
  </si>
  <si>
    <t>Meera Nair</t>
  </si>
  <si>
    <t>S2440</t>
  </si>
  <si>
    <t>S2441</t>
  </si>
  <si>
    <t>Isha Singh</t>
  </si>
  <si>
    <t>S2442</t>
  </si>
  <si>
    <t>Nandini Iyer</t>
  </si>
  <si>
    <t>S2443</t>
  </si>
  <si>
    <t>S2444</t>
  </si>
  <si>
    <t>Anjali Joshi</t>
  </si>
  <si>
    <t>S2445</t>
  </si>
  <si>
    <t>S2446</t>
  </si>
  <si>
    <t>Suresh Bose</t>
  </si>
  <si>
    <t>S2447</t>
  </si>
  <si>
    <t>Manoj Gupta</t>
  </si>
  <si>
    <t>S2448</t>
  </si>
  <si>
    <t>S2449</t>
  </si>
  <si>
    <t>S2450</t>
  </si>
  <si>
    <t>Sneha Desai</t>
  </si>
  <si>
    <t>ANSWER SHEET</t>
  </si>
  <si>
    <t>Q12 – Branch Performance Summary</t>
  </si>
  <si>
    <t>Students</t>
  </si>
  <si>
    <t>Avg Total</t>
  </si>
  <si>
    <t>Pass %</t>
  </si>
  <si>
    <t>Q13 – Student Lookup Card</t>
  </si>
  <si>
    <t>Select Student ID</t>
  </si>
  <si>
    <t>Total</t>
  </si>
  <si>
    <t>Percentage</t>
  </si>
  <si>
    <t>Result</t>
  </si>
  <si>
    <t>Toatal</t>
  </si>
  <si>
    <t>Rank</t>
  </si>
  <si>
    <t>Per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</si>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</sst>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2"/>
      <color rgb="FF59595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1F3864"/>
      <name val="Calibri"/>
      <family val="2"/>
    </font>
    <font>
      <b/>
      <sz val="10"/>
      <name val="Calibri"/>
      <family val="2"/>
    </font>
    <font>
      <b/>
      <sz val="12"/>
      <color rgb="FFC55A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C55A11"/>
        <bgColor rgb="FFC55A11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4" fillId="0" borderId="1" xfId="0" applyFont="1" applyBorder="1"/>
    <xf numFmtId="0" fontId="8" fillId="0" borderId="0" xfId="0" applyFont="1"/>
    <xf numFmtId="0" fontId="9" fillId="0" borderId="0" xfId="0" applyFont="1"/>
    <xf numFmtId="0" fontId="3" fillId="0" borderId="1" xfId="0" applyFont="1" applyBorder="1"/>
    <xf numFmtId="0" fontId="3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5" fillId="4" borderId="0" xfId="0" applyFont="1" applyFill="1"/>
    <xf numFmtId="0" fontId="7" fillId="5" borderId="0" xfId="0" applyFont="1" applyFill="1"/>
    <xf numFmtId="0" fontId="5" fillId="2" borderId="0" xfId="0" applyFont="1" applyFill="1"/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</a:t>
            </a:r>
            <a:r>
              <a:rPr lang="en-US" baseline="0"/>
              <a:t> of student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'Q12'!$O$13</c:f>
              <c:strCache>
                <c:ptCount val="1"/>
                <c:pt idx="0">
                  <c:v>Branch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'Q12'!$O$14:$O$18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7-4368-B25E-C53F18392B70}"/>
            </c:ext>
          </c:extLst>
        </c:ser>
        <c:ser>
          <c:idx val="1"/>
          <c:order val="1"/>
          <c:tx>
            <c:strRef>
              <c:f>'Q12'!$P$13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'Q12'!$P$14:$P$18</c:f>
              <c:numCache>
                <c:formatCode>General</c:formatCode>
                <c:ptCount val="5"/>
                <c:pt idx="0">
                  <c:v>81</c:v>
                </c:pt>
                <c:pt idx="1">
                  <c:v>45</c:v>
                </c:pt>
                <c:pt idx="2">
                  <c:v>50</c:v>
                </c:pt>
                <c:pt idx="3">
                  <c:v>31</c:v>
                </c:pt>
                <c:pt idx="4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7-4368-B25E-C53F18392B70}"/>
            </c:ext>
          </c:extLst>
        </c:ser>
        <c:ser>
          <c:idx val="2"/>
          <c:order val="2"/>
          <c:tx>
            <c:strRef>
              <c:f>'Q12'!$Q$13</c:f>
              <c:strCache>
                <c:ptCount val="1"/>
                <c:pt idx="0">
                  <c:v>Avg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'Q12'!$Q$14:$Q$18</c:f>
              <c:numCache>
                <c:formatCode>General</c:formatCode>
                <c:ptCount val="5"/>
                <c:pt idx="0">
                  <c:v>0.4</c:v>
                </c:pt>
                <c:pt idx="1">
                  <c:v>0.2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7-4368-B25E-C53F18392B70}"/>
            </c:ext>
          </c:extLst>
        </c:ser>
        <c:ser>
          <c:idx val="3"/>
          <c:order val="3"/>
          <c:tx>
            <c:strRef>
              <c:f>'Q12'!$R$13</c:f>
              <c:strCache>
                <c:ptCount val="1"/>
                <c:pt idx="0">
                  <c:v>Pass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'Q12'!$R$14:$R$18</c:f>
              <c:numCache>
                <c:formatCode>General</c:formatCode>
                <c:ptCount val="5"/>
                <c:pt idx="0">
                  <c:v>39.130434782608695</c:v>
                </c:pt>
                <c:pt idx="1">
                  <c:v>21.739130434782609</c:v>
                </c:pt>
                <c:pt idx="2">
                  <c:v>24.154589371980677</c:v>
                </c:pt>
                <c:pt idx="3">
                  <c:v>14.975845410628018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7-4368-B25E-C53F18392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705104"/>
        <c:axId val="1716348816"/>
      </c:barChart>
      <c:catAx>
        <c:axId val="1720705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348816"/>
        <c:crosses val="autoZero"/>
        <c:auto val="1"/>
        <c:lblAlgn val="ctr"/>
        <c:lblOffset val="100"/>
        <c:noMultiLvlLbl val="0"/>
      </c:catAx>
      <c:valAx>
        <c:axId val="171634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7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1317625</xdr:colOff>
      <xdr:row>21</xdr:row>
      <xdr:rowOff>149225</xdr:rowOff>
    </xdr:from>
    <xdr:to>
      <xdr:col>20</xdr:col>
      <xdr:colOff>225425</xdr:colOff>
      <xdr:row>36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23C89-B90B-30CE-E8C2-D891F9108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2" zoomScale="82" workbookViewId="0">
      <selection activeCell="A5" sqref="A5:D5"/>
    </sheetView>
  </sheetViews>
  <sheetFormatPr defaultRowHeight="14.5" x14ac:dyDescent="0.35"/>
  <cols>
    <col min="1" max="1" width="10" customWidth="1"/>
    <col min="2" max="2" width="8" customWidth="1"/>
    <col min="3" max="3" width="100" customWidth="1"/>
    <col min="4" max="4" width="28" customWidth="1"/>
  </cols>
  <sheetData>
    <row r="1" spans="1:4" ht="21" x14ac:dyDescent="0.5">
      <c r="A1" s="1" t="s">
        <v>0</v>
      </c>
    </row>
    <row r="2" spans="1:4" ht="15.5" x14ac:dyDescent="0.35">
      <c r="A2" s="2"/>
    </row>
    <row r="3" spans="1:4" ht="32.15" customHeight="1" x14ac:dyDescent="0.35">
      <c r="A3" s="21" t="s">
        <v>1</v>
      </c>
      <c r="B3" s="20"/>
      <c r="C3" s="20"/>
      <c r="D3" s="20"/>
    </row>
    <row r="4" spans="1:4" ht="32.15" customHeight="1" x14ac:dyDescent="0.35">
      <c r="A4" s="19" t="s">
        <v>2</v>
      </c>
      <c r="B4" s="20"/>
      <c r="C4" s="20"/>
      <c r="D4" s="20"/>
    </row>
    <row r="5" spans="1:4" ht="32.15" customHeight="1" x14ac:dyDescent="0.35">
      <c r="A5" s="19" t="s">
        <v>3</v>
      </c>
      <c r="B5" s="20"/>
      <c r="C5" s="20"/>
      <c r="D5" s="20"/>
    </row>
    <row r="6" spans="1:4" ht="32.15" customHeight="1" x14ac:dyDescent="0.35">
      <c r="A6" s="19" t="s">
        <v>4</v>
      </c>
      <c r="B6" s="20"/>
      <c r="C6" s="20"/>
      <c r="D6" s="20"/>
    </row>
    <row r="8" spans="1:4" ht="15.5" x14ac:dyDescent="0.35">
      <c r="A8" s="24" t="s">
        <v>5</v>
      </c>
      <c r="B8" s="20"/>
      <c r="C8" s="20"/>
      <c r="D8" s="20"/>
    </row>
    <row r="9" spans="1:4" x14ac:dyDescent="0.35">
      <c r="A9" s="3" t="s">
        <v>6</v>
      </c>
      <c r="B9" s="3" t="s">
        <v>7</v>
      </c>
      <c r="C9" s="3" t="s">
        <v>8</v>
      </c>
    </row>
    <row r="10" spans="1:4" ht="34" customHeight="1" x14ac:dyDescent="0.35">
      <c r="A10" s="4" t="s">
        <v>9</v>
      </c>
      <c r="B10" s="5">
        <v>1</v>
      </c>
      <c r="C10" s="6" t="s">
        <v>10</v>
      </c>
    </row>
    <row r="11" spans="1:4" ht="34" customHeight="1" x14ac:dyDescent="0.35">
      <c r="A11" s="4" t="s">
        <v>11</v>
      </c>
      <c r="B11" s="5">
        <v>1</v>
      </c>
      <c r="C11" s="6" t="s">
        <v>12</v>
      </c>
    </row>
    <row r="12" spans="1:4" ht="34" customHeight="1" x14ac:dyDescent="0.35">
      <c r="A12" s="4" t="s">
        <v>13</v>
      </c>
      <c r="B12" s="5">
        <v>1</v>
      </c>
      <c r="C12" s="6" t="s">
        <v>14</v>
      </c>
    </row>
    <row r="13" spans="1:4" ht="48" customHeight="1" x14ac:dyDescent="0.35">
      <c r="A13" s="4" t="s">
        <v>15</v>
      </c>
      <c r="B13" s="5">
        <v>1</v>
      </c>
      <c r="C13" s="6" t="s">
        <v>16</v>
      </c>
    </row>
    <row r="14" spans="1:4" ht="48" customHeight="1" x14ac:dyDescent="0.35">
      <c r="A14" s="4" t="s">
        <v>17</v>
      </c>
      <c r="B14" s="5">
        <v>1</v>
      </c>
      <c r="C14" s="6" t="s">
        <v>18</v>
      </c>
    </row>
    <row r="15" spans="1:4" ht="48" customHeight="1" x14ac:dyDescent="0.35">
      <c r="A15" s="4" t="s">
        <v>19</v>
      </c>
      <c r="B15" s="5">
        <v>1</v>
      </c>
      <c r="C15" s="6" t="s">
        <v>20</v>
      </c>
    </row>
    <row r="16" spans="1:4" ht="48" customHeight="1" x14ac:dyDescent="0.35">
      <c r="A16" s="4" t="s">
        <v>21</v>
      </c>
      <c r="B16" s="5">
        <v>1</v>
      </c>
      <c r="C16" s="6" t="s">
        <v>22</v>
      </c>
    </row>
    <row r="17" spans="1:4" ht="34" customHeight="1" x14ac:dyDescent="0.35">
      <c r="A17" s="4" t="s">
        <v>23</v>
      </c>
      <c r="B17" s="5">
        <v>1</v>
      </c>
      <c r="C17" s="6" t="s">
        <v>24</v>
      </c>
    </row>
    <row r="18" spans="1:4" ht="34" customHeight="1" x14ac:dyDescent="0.35">
      <c r="A18" s="4" t="s">
        <v>25</v>
      </c>
      <c r="B18" s="5">
        <v>1</v>
      </c>
      <c r="C18" s="6" t="s">
        <v>26</v>
      </c>
    </row>
    <row r="19" spans="1:4" ht="34" customHeight="1" x14ac:dyDescent="0.35">
      <c r="A19" s="4" t="s">
        <v>27</v>
      </c>
      <c r="B19" s="5">
        <v>1</v>
      </c>
      <c r="C19" s="6" t="s">
        <v>28</v>
      </c>
    </row>
    <row r="21" spans="1:4" ht="15.5" x14ac:dyDescent="0.35">
      <c r="A21" s="22" t="s">
        <v>29</v>
      </c>
      <c r="B21" s="20"/>
      <c r="C21" s="20"/>
      <c r="D21" s="20"/>
    </row>
    <row r="22" spans="1:4" ht="15.5" x14ac:dyDescent="0.35">
      <c r="A22" s="23" t="s">
        <v>30</v>
      </c>
      <c r="B22" s="20"/>
      <c r="C22" s="20"/>
      <c r="D22" s="20"/>
    </row>
    <row r="23" spans="1:4" ht="48" customHeight="1" x14ac:dyDescent="0.35">
      <c r="A23" s="4" t="s">
        <v>31</v>
      </c>
      <c r="B23" s="5">
        <v>1</v>
      </c>
      <c r="C23" s="6" t="s">
        <v>32</v>
      </c>
      <c r="D23" s="6"/>
    </row>
    <row r="24" spans="1:4" ht="48" customHeight="1" x14ac:dyDescent="0.35">
      <c r="A24" s="4" t="s">
        <v>33</v>
      </c>
      <c r="B24" s="5">
        <v>1</v>
      </c>
      <c r="C24" s="6" t="s">
        <v>34</v>
      </c>
      <c r="D24" s="6"/>
    </row>
    <row r="25" spans="1:4" ht="48" customHeight="1" x14ac:dyDescent="0.35">
      <c r="A25" s="4" t="s">
        <v>35</v>
      </c>
      <c r="B25" s="5">
        <v>2</v>
      </c>
      <c r="C25" s="6" t="s">
        <v>36</v>
      </c>
      <c r="D25" s="6"/>
    </row>
    <row r="26" spans="1:4" ht="34" customHeight="1" x14ac:dyDescent="0.35">
      <c r="A26" s="4" t="s">
        <v>37</v>
      </c>
      <c r="B26" s="5">
        <v>1</v>
      </c>
      <c r="C26" s="6" t="s">
        <v>38</v>
      </c>
      <c r="D26" s="6"/>
    </row>
    <row r="27" spans="1:4" ht="15.5" x14ac:dyDescent="0.35">
      <c r="A27" s="23" t="s">
        <v>39</v>
      </c>
      <c r="B27" s="20"/>
      <c r="C27" s="20"/>
      <c r="D27" s="20"/>
    </row>
    <row r="28" spans="1:4" ht="34" customHeight="1" x14ac:dyDescent="0.35">
      <c r="A28" s="4" t="s">
        <v>40</v>
      </c>
      <c r="B28" s="5">
        <v>1</v>
      </c>
      <c r="C28" s="6" t="s">
        <v>41</v>
      </c>
      <c r="D28" s="6"/>
    </row>
    <row r="29" spans="1:4" ht="34" customHeight="1" x14ac:dyDescent="0.35">
      <c r="A29" s="4" t="s">
        <v>42</v>
      </c>
      <c r="B29" s="5">
        <v>1</v>
      </c>
      <c r="C29" s="6" t="s">
        <v>43</v>
      </c>
      <c r="D29" s="6"/>
    </row>
    <row r="30" spans="1:4" ht="48" customHeight="1" x14ac:dyDescent="0.35">
      <c r="A30" s="4" t="s">
        <v>44</v>
      </c>
      <c r="B30" s="5">
        <v>1</v>
      </c>
      <c r="C30" s="6" t="s">
        <v>45</v>
      </c>
      <c r="D30" s="6"/>
    </row>
    <row r="31" spans="1:4" ht="48" customHeight="1" x14ac:dyDescent="0.35">
      <c r="A31" s="4" t="s">
        <v>46</v>
      </c>
      <c r="B31" s="5">
        <v>2</v>
      </c>
      <c r="C31" s="6" t="s">
        <v>47</v>
      </c>
      <c r="D31" s="6"/>
    </row>
    <row r="32" spans="1:4" ht="15.5" x14ac:dyDescent="0.35">
      <c r="A32" s="23" t="s">
        <v>48</v>
      </c>
      <c r="B32" s="20"/>
      <c r="C32" s="20"/>
      <c r="D32" s="20"/>
    </row>
    <row r="33" spans="1:4" ht="34" customHeight="1" x14ac:dyDescent="0.35">
      <c r="A33" s="4" t="s">
        <v>49</v>
      </c>
      <c r="B33" s="5">
        <v>1</v>
      </c>
      <c r="C33" s="6" t="s">
        <v>50</v>
      </c>
      <c r="D33" s="6"/>
    </row>
    <row r="34" spans="1:4" ht="34" customHeight="1" x14ac:dyDescent="0.35">
      <c r="A34" s="4" t="s">
        <v>51</v>
      </c>
      <c r="B34" s="5">
        <v>1</v>
      </c>
      <c r="C34" s="6" t="s">
        <v>52</v>
      </c>
      <c r="D34" s="6"/>
    </row>
    <row r="35" spans="1:4" ht="34" customHeight="1" x14ac:dyDescent="0.35">
      <c r="A35" s="4" t="s">
        <v>53</v>
      </c>
      <c r="B35" s="5">
        <v>2</v>
      </c>
      <c r="C35" s="6" t="s">
        <v>54</v>
      </c>
      <c r="D35" s="6"/>
    </row>
    <row r="36" spans="1:4" ht="34" customHeight="1" x14ac:dyDescent="0.35">
      <c r="A36" s="4" t="s">
        <v>55</v>
      </c>
      <c r="B36" s="5">
        <v>1</v>
      </c>
      <c r="C36" s="6" t="s">
        <v>56</v>
      </c>
      <c r="D36" s="6"/>
    </row>
  </sheetData>
  <mergeCells count="9">
    <mergeCell ref="A4:D4"/>
    <mergeCell ref="A3:D3"/>
    <mergeCell ref="A21:D21"/>
    <mergeCell ref="A32:D32"/>
    <mergeCell ref="A5:D5"/>
    <mergeCell ref="A27:D27"/>
    <mergeCell ref="A8:D8"/>
    <mergeCell ref="A6:D6"/>
    <mergeCell ref="A22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1"/>
  <sheetViews>
    <sheetView topLeftCell="H1" zoomScale="77" zoomScaleNormal="77" workbookViewId="0">
      <selection activeCell="N14" sqref="N14"/>
    </sheetView>
  </sheetViews>
  <sheetFormatPr defaultRowHeight="14.5" x14ac:dyDescent="0.35"/>
  <cols>
    <col min="1" max="1" width="11" customWidth="1"/>
    <col min="2" max="2" width="22" customWidth="1"/>
    <col min="3" max="3" width="13" customWidth="1"/>
    <col min="4" max="4" width="10" customWidth="1"/>
    <col min="5" max="5" width="13" customWidth="1"/>
    <col min="6" max="6" width="14" customWidth="1"/>
    <col min="7" max="8" width="9" customWidth="1"/>
    <col min="9" max="9" width="12" customWidth="1"/>
    <col min="10" max="10" width="9" customWidth="1"/>
    <col min="11" max="11" width="12" customWidth="1"/>
    <col min="12" max="12" width="14" customWidth="1"/>
    <col min="13" max="13" width="15" customWidth="1"/>
    <col min="14" max="14" width="8" customWidth="1"/>
    <col min="15" max="15" width="13" customWidth="1"/>
    <col min="16" max="16" width="12" customWidth="1"/>
  </cols>
  <sheetData>
    <row r="1" spans="1:21" ht="32.15" customHeight="1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T1" t="s">
        <v>13</v>
      </c>
      <c r="U1" t="s">
        <v>19</v>
      </c>
    </row>
    <row r="2" spans="1:21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</row>
    <row r="3" spans="1:21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</row>
    <row r="4" spans="1:21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</row>
    <row r="5" spans="1:21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</row>
    <row r="6" spans="1:21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</row>
    <row r="7" spans="1:21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21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21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21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21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21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21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</row>
    <row r="14" spans="1:21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</row>
    <row r="15" spans="1:21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</row>
    <row r="16" spans="1:21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</row>
    <row r="17" spans="1:1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</row>
    <row r="18" spans="1:1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</row>
    <row r="19" spans="1:1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C366-ECCC-492B-A0B8-BFE599BC2566}">
  <dimension ref="A1:S251"/>
  <sheetViews>
    <sheetView tabSelected="1" topLeftCell="E1" workbookViewId="0">
      <selection activeCell="M16" sqref="M16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42.1796875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19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S1" s="27" t="s">
        <v>21</v>
      </c>
    </row>
    <row r="2" spans="1:19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S2" t="str">
        <f>_xlfn.XLOOKUP(C2,C2:C251,P2:P251,0)</f>
        <v>Dr. Rao</v>
      </c>
    </row>
    <row r="3" spans="1:19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  <c r="S3" t="str">
        <f t="shared" ref="S3:S6" si="0">_xlfn.XLOOKUP(C3,C3:C252,P3:P252,0)</f>
        <v>Dr. Iyer</v>
      </c>
    </row>
    <row r="4" spans="1:19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  <c r="S4" t="str">
        <f t="shared" si="0"/>
        <v>Dr. Khan</v>
      </c>
    </row>
    <row r="5" spans="1:19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  <c r="S5" t="str">
        <f t="shared" si="0"/>
        <v>Dr. Nair</v>
      </c>
    </row>
    <row r="6" spans="1:19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  <c r="S6" t="str">
        <f t="shared" si="0"/>
        <v>Dr. Das</v>
      </c>
    </row>
    <row r="7" spans="1:19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19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19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19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19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19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19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</row>
    <row r="14" spans="1:19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</row>
    <row r="15" spans="1:19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</row>
    <row r="16" spans="1:19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</row>
    <row r="17" spans="1:1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</row>
    <row r="18" spans="1:1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</row>
    <row r="19" spans="1:1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C0A5-02CD-40A3-BD1D-AFACDBBC9E0C}">
  <dimension ref="A1:Q251"/>
  <sheetViews>
    <sheetView topLeftCell="M1" workbookViewId="0">
      <selection activeCell="Q3" sqref="Q3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81.08984375" bestFit="1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17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Q1" s="25" t="s">
        <v>13</v>
      </c>
    </row>
    <row r="2" spans="1:17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Q2">
        <f>COUNTIFS(C2:C251,"ECE",G2:G251,"&gt;=80")</f>
        <v>6</v>
      </c>
    </row>
    <row r="3" spans="1:17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</row>
    <row r="4" spans="1:17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</row>
    <row r="5" spans="1:17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</row>
    <row r="6" spans="1:17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</row>
    <row r="7" spans="1:17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17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17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17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17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17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17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</row>
    <row r="14" spans="1:17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</row>
    <row r="15" spans="1:17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</row>
    <row r="16" spans="1:17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</row>
    <row r="17" spans="1:1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</row>
    <row r="18" spans="1:1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</row>
    <row r="19" spans="1:1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1465-A122-41EA-947B-9BB133CB5371}">
  <dimension ref="A1:R251"/>
  <sheetViews>
    <sheetView topLeftCell="J1" workbookViewId="0">
      <selection activeCell="R2" sqref="R2:R249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81.08984375" bestFit="1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18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R1" s="26" t="s">
        <v>19</v>
      </c>
    </row>
    <row r="2" spans="1:18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R2" t="str">
        <f>IF(K2&gt;=90,"EXCELLENT",IF(K2&gt;75,"SATISFACTORY","SHORTAGE"))</f>
        <v>SHORTAGE</v>
      </c>
    </row>
    <row r="3" spans="1:18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  <c r="R3" t="str">
        <f t="shared" ref="R3:R66" si="0">IF(K3&gt;=90,"EXCELLENT",IF(K3&gt;75,"SATISFACTORY","SHORTAGE"))</f>
        <v>EXCELLENT</v>
      </c>
    </row>
    <row r="4" spans="1:18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  <c r="R4" t="str">
        <f t="shared" si="0"/>
        <v>SATISFACTORY</v>
      </c>
    </row>
    <row r="5" spans="1:18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  <c r="R5" t="str">
        <f t="shared" si="0"/>
        <v>EXCELLENT</v>
      </c>
    </row>
    <row r="6" spans="1:18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  <c r="R6" t="str">
        <f t="shared" si="0"/>
        <v>SHORTAGE</v>
      </c>
    </row>
    <row r="7" spans="1:18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  <c r="R7" t="str">
        <f t="shared" si="0"/>
        <v>SATISFACTORY</v>
      </c>
    </row>
    <row r="8" spans="1:18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  <c r="R8" t="str">
        <f t="shared" si="0"/>
        <v>SHORTAGE</v>
      </c>
    </row>
    <row r="9" spans="1:18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  <c r="R9" t="str">
        <f t="shared" si="0"/>
        <v>SATISFACTORY</v>
      </c>
    </row>
    <row r="10" spans="1:18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  <c r="R10" t="str">
        <f t="shared" si="0"/>
        <v>SHORTAGE</v>
      </c>
    </row>
    <row r="11" spans="1:18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  <c r="R11" t="str">
        <f t="shared" si="0"/>
        <v>SATISFACTORY</v>
      </c>
    </row>
    <row r="12" spans="1:18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  <c r="R12" t="str">
        <f t="shared" si="0"/>
        <v>SATISFACTORY</v>
      </c>
    </row>
    <row r="13" spans="1:18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  <c r="R13" t="str">
        <f t="shared" si="0"/>
        <v>EXCELLENT</v>
      </c>
    </row>
    <row r="14" spans="1:18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  <c r="R14" t="str">
        <f t="shared" si="0"/>
        <v>SHORTAGE</v>
      </c>
    </row>
    <row r="15" spans="1:18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  <c r="R15" t="str">
        <f t="shared" si="0"/>
        <v>EXCELLENT</v>
      </c>
    </row>
    <row r="16" spans="1:18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  <c r="R16" t="str">
        <f t="shared" si="0"/>
        <v>SHORTAGE</v>
      </c>
    </row>
    <row r="17" spans="1:18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  <c r="R17" t="str">
        <f t="shared" si="0"/>
        <v>SATISFACTORY</v>
      </c>
    </row>
    <row r="18" spans="1:18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  <c r="R18" t="str">
        <f t="shared" si="0"/>
        <v>SHORTAGE</v>
      </c>
    </row>
    <row r="19" spans="1:18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  <c r="R19" t="str">
        <f t="shared" si="0"/>
        <v>SHORTAGE</v>
      </c>
    </row>
    <row r="20" spans="1:18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  <c r="R20" t="str">
        <f t="shared" si="0"/>
        <v>SATISFACTORY</v>
      </c>
    </row>
    <row r="21" spans="1:18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  <c r="R21" t="str">
        <f t="shared" si="0"/>
        <v>EXCELLENT</v>
      </c>
    </row>
    <row r="22" spans="1:18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  <c r="R22" t="str">
        <f t="shared" si="0"/>
        <v>SHORTAGE</v>
      </c>
    </row>
    <row r="23" spans="1:18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  <c r="R23" t="str">
        <f t="shared" si="0"/>
        <v>SHORTAGE</v>
      </c>
    </row>
    <row r="24" spans="1:18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  <c r="R24" t="str">
        <f t="shared" si="0"/>
        <v>SHORTAGE</v>
      </c>
    </row>
    <row r="25" spans="1:18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  <c r="R25" t="str">
        <f t="shared" si="0"/>
        <v>EXCELLENT</v>
      </c>
    </row>
    <row r="26" spans="1:18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  <c r="R26" t="str">
        <f t="shared" si="0"/>
        <v>SHORTAGE</v>
      </c>
    </row>
    <row r="27" spans="1:18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  <c r="R27" t="str">
        <f t="shared" si="0"/>
        <v>SHORTAGE</v>
      </c>
    </row>
    <row r="28" spans="1:18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  <c r="R28" t="str">
        <f t="shared" si="0"/>
        <v>SATISFACTORY</v>
      </c>
    </row>
    <row r="29" spans="1:18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  <c r="R29" t="str">
        <f t="shared" si="0"/>
        <v>SATISFACTORY</v>
      </c>
    </row>
    <row r="30" spans="1:18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  <c r="R30" t="str">
        <f t="shared" si="0"/>
        <v>SHORTAGE</v>
      </c>
    </row>
    <row r="31" spans="1:18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  <c r="R31" t="str">
        <f t="shared" si="0"/>
        <v>SATISFACTORY</v>
      </c>
    </row>
    <row r="32" spans="1:18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  <c r="R32" t="str">
        <f t="shared" si="0"/>
        <v>SATISFACTORY</v>
      </c>
    </row>
    <row r="33" spans="1:18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  <c r="R33" t="str">
        <f t="shared" si="0"/>
        <v>EXCELLENT</v>
      </c>
    </row>
    <row r="34" spans="1:18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  <c r="R34" t="str">
        <f t="shared" si="0"/>
        <v>SATISFACTORY</v>
      </c>
    </row>
    <row r="35" spans="1:18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  <c r="R35" t="str">
        <f t="shared" si="0"/>
        <v>EXCELLENT</v>
      </c>
    </row>
    <row r="36" spans="1:18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  <c r="R36" t="str">
        <f t="shared" si="0"/>
        <v>EXCELLENT</v>
      </c>
    </row>
    <row r="37" spans="1:18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  <c r="R37" t="str">
        <f t="shared" si="0"/>
        <v>EXCELLENT</v>
      </c>
    </row>
    <row r="38" spans="1:18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  <c r="R38" t="str">
        <f t="shared" si="0"/>
        <v>SATISFACTORY</v>
      </c>
    </row>
    <row r="39" spans="1:18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  <c r="R39" t="str">
        <f t="shared" si="0"/>
        <v>SATISFACTORY</v>
      </c>
    </row>
    <row r="40" spans="1:18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  <c r="R40" t="str">
        <f t="shared" si="0"/>
        <v>SATISFACTORY</v>
      </c>
    </row>
    <row r="41" spans="1:18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  <c r="R41" t="str">
        <f t="shared" si="0"/>
        <v>EXCELLENT</v>
      </c>
    </row>
    <row r="42" spans="1:18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  <c r="R42" t="str">
        <f t="shared" si="0"/>
        <v>EXCELLENT</v>
      </c>
    </row>
    <row r="43" spans="1:18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  <c r="R43" t="str">
        <f t="shared" si="0"/>
        <v>SATISFACTORY</v>
      </c>
    </row>
    <row r="44" spans="1:18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  <c r="R44" t="str">
        <f t="shared" si="0"/>
        <v>SATISFACTORY</v>
      </c>
    </row>
    <row r="45" spans="1:18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  <c r="R45" t="str">
        <f t="shared" si="0"/>
        <v>SATISFACTORY</v>
      </c>
    </row>
    <row r="46" spans="1:18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  <c r="R46" t="str">
        <f t="shared" si="0"/>
        <v>SHORTAGE</v>
      </c>
    </row>
    <row r="47" spans="1:18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  <c r="R47" t="str">
        <f t="shared" si="0"/>
        <v>SATISFACTORY</v>
      </c>
    </row>
    <row r="48" spans="1:18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  <c r="R48" t="str">
        <f t="shared" si="0"/>
        <v>SATISFACTORY</v>
      </c>
    </row>
    <row r="49" spans="1:18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  <c r="R49" t="str">
        <f t="shared" si="0"/>
        <v>EXCELLENT</v>
      </c>
    </row>
    <row r="50" spans="1:18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  <c r="R50" t="str">
        <f t="shared" si="0"/>
        <v>EXCELLENT</v>
      </c>
    </row>
    <row r="51" spans="1:18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  <c r="R51" t="str">
        <f t="shared" si="0"/>
        <v>EXCELLENT</v>
      </c>
    </row>
    <row r="52" spans="1:18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  <c r="R52" t="str">
        <f t="shared" si="0"/>
        <v>EXCELLENT</v>
      </c>
    </row>
    <row r="53" spans="1:18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  <c r="R53" t="str">
        <f t="shared" si="0"/>
        <v>SATISFACTORY</v>
      </c>
    </row>
    <row r="54" spans="1:18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  <c r="R54" t="str">
        <f t="shared" si="0"/>
        <v>SHORTAGE</v>
      </c>
    </row>
    <row r="55" spans="1:18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  <c r="R55" t="str">
        <f t="shared" si="0"/>
        <v>EXCELLENT</v>
      </c>
    </row>
    <row r="56" spans="1:18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  <c r="R56" t="str">
        <f t="shared" si="0"/>
        <v>EXCELLENT</v>
      </c>
    </row>
    <row r="57" spans="1:18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  <c r="R57" t="str">
        <f t="shared" si="0"/>
        <v>SHORTAGE</v>
      </c>
    </row>
    <row r="58" spans="1:18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  <c r="R58" t="str">
        <f t="shared" si="0"/>
        <v>SATISFACTORY</v>
      </c>
    </row>
    <row r="59" spans="1:18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  <c r="R59" t="str">
        <f t="shared" si="0"/>
        <v>SATISFACTORY</v>
      </c>
    </row>
    <row r="60" spans="1:18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  <c r="R60" t="str">
        <f t="shared" si="0"/>
        <v>EXCELLENT</v>
      </c>
    </row>
    <row r="61" spans="1:18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  <c r="R61" t="str">
        <f t="shared" si="0"/>
        <v>EXCELLENT</v>
      </c>
    </row>
    <row r="62" spans="1:18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  <c r="R62" t="str">
        <f t="shared" si="0"/>
        <v>SATISFACTORY</v>
      </c>
    </row>
    <row r="63" spans="1:18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  <c r="R63" t="str">
        <f t="shared" si="0"/>
        <v>SHORTAGE</v>
      </c>
    </row>
    <row r="64" spans="1:18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  <c r="R64" t="str">
        <f t="shared" si="0"/>
        <v>SATISFACTORY</v>
      </c>
    </row>
    <row r="65" spans="1:18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  <c r="R65" t="str">
        <f t="shared" si="0"/>
        <v>EXCELLENT</v>
      </c>
    </row>
    <row r="66" spans="1:18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  <c r="R66" t="str">
        <f t="shared" si="0"/>
        <v>EXCELLENT</v>
      </c>
    </row>
    <row r="67" spans="1:18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  <c r="R67" t="str">
        <f t="shared" ref="R67:R130" si="1">IF(K67&gt;=90,"EXCELLENT",IF(K67&gt;75,"SATISFACTORY","SHORTAGE"))</f>
        <v>SATISFACTORY</v>
      </c>
    </row>
    <row r="68" spans="1:18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  <c r="R68" t="str">
        <f t="shared" si="1"/>
        <v>SHORTAGE</v>
      </c>
    </row>
    <row r="69" spans="1:18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  <c r="R69" t="str">
        <f t="shared" si="1"/>
        <v>SHORTAGE</v>
      </c>
    </row>
    <row r="70" spans="1:18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  <c r="R70" t="str">
        <f t="shared" si="1"/>
        <v>SHORTAGE</v>
      </c>
    </row>
    <row r="71" spans="1:18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  <c r="R71" t="str">
        <f t="shared" si="1"/>
        <v>SATISFACTORY</v>
      </c>
    </row>
    <row r="72" spans="1:18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  <c r="R72" t="str">
        <f t="shared" si="1"/>
        <v>SHORTAGE</v>
      </c>
    </row>
    <row r="73" spans="1:18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  <c r="R73" t="str">
        <f t="shared" si="1"/>
        <v>SATISFACTORY</v>
      </c>
    </row>
    <row r="74" spans="1:18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  <c r="R74" t="str">
        <f t="shared" si="1"/>
        <v>SHORTAGE</v>
      </c>
    </row>
    <row r="75" spans="1:18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  <c r="R75" t="str">
        <f t="shared" si="1"/>
        <v>SATISFACTORY</v>
      </c>
    </row>
    <row r="76" spans="1:18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  <c r="R76" t="str">
        <f t="shared" si="1"/>
        <v>SHORTAGE</v>
      </c>
    </row>
    <row r="77" spans="1:18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  <c r="R77" t="str">
        <f t="shared" si="1"/>
        <v>SHORTAGE</v>
      </c>
    </row>
    <row r="78" spans="1:18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  <c r="R78" t="str">
        <f t="shared" si="1"/>
        <v>SHORTAGE</v>
      </c>
    </row>
    <row r="79" spans="1:18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  <c r="R79" t="str">
        <f t="shared" si="1"/>
        <v>SHORTAGE</v>
      </c>
    </row>
    <row r="80" spans="1:18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  <c r="R80" t="str">
        <f t="shared" si="1"/>
        <v>EXCELLENT</v>
      </c>
    </row>
    <row r="81" spans="1:18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  <c r="R81" t="str">
        <f t="shared" si="1"/>
        <v>SHORTAGE</v>
      </c>
    </row>
    <row r="82" spans="1:18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  <c r="R82" t="str">
        <f t="shared" si="1"/>
        <v>SHORTAGE</v>
      </c>
    </row>
    <row r="83" spans="1:18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  <c r="R83" t="str">
        <f t="shared" si="1"/>
        <v>SATISFACTORY</v>
      </c>
    </row>
    <row r="84" spans="1:18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  <c r="R84" t="str">
        <f t="shared" si="1"/>
        <v>SHORTAGE</v>
      </c>
    </row>
    <row r="85" spans="1:18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  <c r="R85" t="str">
        <f t="shared" si="1"/>
        <v>SHORTAGE</v>
      </c>
    </row>
    <row r="86" spans="1:18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  <c r="R86" t="str">
        <f t="shared" si="1"/>
        <v>EXCELLENT</v>
      </c>
    </row>
    <row r="87" spans="1:18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  <c r="R87" t="str">
        <f t="shared" si="1"/>
        <v>SATISFACTORY</v>
      </c>
    </row>
    <row r="88" spans="1:18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  <c r="R88" t="str">
        <f t="shared" si="1"/>
        <v>EXCELLENT</v>
      </c>
    </row>
    <row r="89" spans="1:18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  <c r="R89" t="str">
        <f t="shared" si="1"/>
        <v>SHORTAGE</v>
      </c>
    </row>
    <row r="90" spans="1:18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  <c r="R90" t="str">
        <f t="shared" si="1"/>
        <v>SATISFACTORY</v>
      </c>
    </row>
    <row r="91" spans="1:18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  <c r="R91" t="str">
        <f t="shared" si="1"/>
        <v>SATISFACTORY</v>
      </c>
    </row>
    <row r="92" spans="1:18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  <c r="R92" t="str">
        <f t="shared" si="1"/>
        <v>EXCELLENT</v>
      </c>
    </row>
    <row r="93" spans="1:18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  <c r="R93" t="str">
        <f t="shared" si="1"/>
        <v>SHORTAGE</v>
      </c>
    </row>
    <row r="94" spans="1:18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  <c r="R94" t="str">
        <f t="shared" si="1"/>
        <v>EXCELLENT</v>
      </c>
    </row>
    <row r="95" spans="1:18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  <c r="R95" t="str">
        <f t="shared" si="1"/>
        <v>SHORTAGE</v>
      </c>
    </row>
    <row r="96" spans="1:18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  <c r="R96" t="str">
        <f t="shared" si="1"/>
        <v>SHORTAGE</v>
      </c>
    </row>
    <row r="97" spans="1:18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  <c r="R97" t="str">
        <f t="shared" si="1"/>
        <v>SATISFACTORY</v>
      </c>
    </row>
    <row r="98" spans="1:18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  <c r="R98" t="str">
        <f t="shared" si="1"/>
        <v>SATISFACTORY</v>
      </c>
    </row>
    <row r="99" spans="1:18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  <c r="R99" t="str">
        <f t="shared" si="1"/>
        <v>SATISFACTORY</v>
      </c>
    </row>
    <row r="100" spans="1:18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  <c r="R100" t="str">
        <f t="shared" si="1"/>
        <v>SHORTAGE</v>
      </c>
    </row>
    <row r="101" spans="1:18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  <c r="R101" t="str">
        <f t="shared" si="1"/>
        <v>SHORTAGE</v>
      </c>
    </row>
    <row r="102" spans="1:18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  <c r="R102" t="str">
        <f t="shared" si="1"/>
        <v>SATISFACTORY</v>
      </c>
    </row>
    <row r="103" spans="1:18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  <c r="R103" t="str">
        <f t="shared" si="1"/>
        <v>SHORTAGE</v>
      </c>
    </row>
    <row r="104" spans="1:18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  <c r="R104" t="str">
        <f t="shared" si="1"/>
        <v>SATISFACTORY</v>
      </c>
    </row>
    <row r="105" spans="1:18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  <c r="R105" t="str">
        <f t="shared" si="1"/>
        <v>EXCELLENT</v>
      </c>
    </row>
    <row r="106" spans="1:18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  <c r="R106" t="str">
        <f t="shared" si="1"/>
        <v>SHORTAGE</v>
      </c>
    </row>
    <row r="107" spans="1:18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  <c r="R107" t="str">
        <f t="shared" si="1"/>
        <v>EXCELLENT</v>
      </c>
    </row>
    <row r="108" spans="1:18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  <c r="R108" t="str">
        <f t="shared" si="1"/>
        <v>EXCELLENT</v>
      </c>
    </row>
    <row r="109" spans="1:18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  <c r="R109" t="str">
        <f t="shared" si="1"/>
        <v>SHORTAGE</v>
      </c>
    </row>
    <row r="110" spans="1:18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  <c r="R110" t="str">
        <f t="shared" si="1"/>
        <v>EXCELLENT</v>
      </c>
    </row>
    <row r="111" spans="1:18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  <c r="R111" t="str">
        <f t="shared" si="1"/>
        <v>SHORTAGE</v>
      </c>
    </row>
    <row r="112" spans="1:18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  <c r="R112" t="str">
        <f t="shared" si="1"/>
        <v>SATISFACTORY</v>
      </c>
    </row>
    <row r="113" spans="1:18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  <c r="R113" t="str">
        <f t="shared" si="1"/>
        <v>SATISFACTORY</v>
      </c>
    </row>
    <row r="114" spans="1:18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  <c r="R114" t="str">
        <f t="shared" si="1"/>
        <v>SHORTAGE</v>
      </c>
    </row>
    <row r="115" spans="1:18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  <c r="R115" t="str">
        <f t="shared" si="1"/>
        <v>EXCELLENT</v>
      </c>
    </row>
    <row r="116" spans="1:18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  <c r="R116" t="str">
        <f t="shared" si="1"/>
        <v>EXCELLENT</v>
      </c>
    </row>
    <row r="117" spans="1:18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  <c r="R117" t="str">
        <f t="shared" si="1"/>
        <v>SATISFACTORY</v>
      </c>
    </row>
    <row r="118" spans="1:18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  <c r="R118" t="str">
        <f t="shared" si="1"/>
        <v>SATISFACTORY</v>
      </c>
    </row>
    <row r="119" spans="1:18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  <c r="R119" t="str">
        <f t="shared" si="1"/>
        <v>SATISFACTORY</v>
      </c>
    </row>
    <row r="120" spans="1:18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  <c r="R120" t="str">
        <f t="shared" si="1"/>
        <v>EXCELLENT</v>
      </c>
    </row>
    <row r="121" spans="1:18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  <c r="R121" t="str">
        <f t="shared" si="1"/>
        <v>SATISFACTORY</v>
      </c>
    </row>
    <row r="122" spans="1:18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  <c r="R122" t="str">
        <f t="shared" si="1"/>
        <v>SATISFACTORY</v>
      </c>
    </row>
    <row r="123" spans="1:18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  <c r="R123" t="str">
        <f t="shared" si="1"/>
        <v>SATISFACTORY</v>
      </c>
    </row>
    <row r="124" spans="1:18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  <c r="R124" t="str">
        <f t="shared" si="1"/>
        <v>SHORTAGE</v>
      </c>
    </row>
    <row r="125" spans="1:18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  <c r="R125" t="str">
        <f t="shared" si="1"/>
        <v>EXCELLENT</v>
      </c>
    </row>
    <row r="126" spans="1:18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  <c r="R126" t="str">
        <f t="shared" si="1"/>
        <v>SHORTAGE</v>
      </c>
    </row>
    <row r="127" spans="1:18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  <c r="R127" t="str">
        <f t="shared" si="1"/>
        <v>EXCELLENT</v>
      </c>
    </row>
    <row r="128" spans="1:18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  <c r="R128" t="str">
        <f t="shared" si="1"/>
        <v>SATISFACTORY</v>
      </c>
    </row>
    <row r="129" spans="1:18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  <c r="R129" t="str">
        <f t="shared" si="1"/>
        <v>EXCELLENT</v>
      </c>
    </row>
    <row r="130" spans="1:18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  <c r="R130" t="str">
        <f t="shared" si="1"/>
        <v>SATISFACTORY</v>
      </c>
    </row>
    <row r="131" spans="1:18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  <c r="R131" t="str">
        <f t="shared" ref="R131:R194" si="2">IF(K131&gt;=90,"EXCELLENT",IF(K131&gt;75,"SATISFACTORY","SHORTAGE"))</f>
        <v>SHORTAGE</v>
      </c>
    </row>
    <row r="132" spans="1:18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  <c r="R132" t="str">
        <f t="shared" si="2"/>
        <v>EXCELLENT</v>
      </c>
    </row>
    <row r="133" spans="1:18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  <c r="R133" t="str">
        <f t="shared" si="2"/>
        <v>SATISFACTORY</v>
      </c>
    </row>
    <row r="134" spans="1:18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  <c r="R134" t="str">
        <f t="shared" si="2"/>
        <v>SATISFACTORY</v>
      </c>
    </row>
    <row r="135" spans="1:18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  <c r="R135" t="str">
        <f t="shared" si="2"/>
        <v>SHORTAGE</v>
      </c>
    </row>
    <row r="136" spans="1:18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  <c r="R136" t="str">
        <f t="shared" si="2"/>
        <v>SHORTAGE</v>
      </c>
    </row>
    <row r="137" spans="1:18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  <c r="R137" t="str">
        <f t="shared" si="2"/>
        <v>SATISFACTORY</v>
      </c>
    </row>
    <row r="138" spans="1:18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  <c r="R138" t="str">
        <f t="shared" si="2"/>
        <v>SATISFACTORY</v>
      </c>
    </row>
    <row r="139" spans="1:18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  <c r="R139" t="str">
        <f t="shared" si="2"/>
        <v>EXCELLENT</v>
      </c>
    </row>
    <row r="140" spans="1:18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  <c r="R140" t="str">
        <f t="shared" si="2"/>
        <v>EXCELLENT</v>
      </c>
    </row>
    <row r="141" spans="1:18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  <c r="R141" t="str">
        <f t="shared" si="2"/>
        <v>EXCELLENT</v>
      </c>
    </row>
    <row r="142" spans="1:18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  <c r="R142" t="str">
        <f t="shared" si="2"/>
        <v>EXCELLENT</v>
      </c>
    </row>
    <row r="143" spans="1:18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  <c r="R143" t="str">
        <f t="shared" si="2"/>
        <v>SATISFACTORY</v>
      </c>
    </row>
    <row r="144" spans="1:18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  <c r="R144" t="str">
        <f t="shared" si="2"/>
        <v>SATISFACTORY</v>
      </c>
    </row>
    <row r="145" spans="1:18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  <c r="R145" t="str">
        <f t="shared" si="2"/>
        <v>SHORTAGE</v>
      </c>
    </row>
    <row r="146" spans="1:18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  <c r="R146" t="str">
        <f t="shared" si="2"/>
        <v>SHORTAGE</v>
      </c>
    </row>
    <row r="147" spans="1:18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  <c r="R147" t="str">
        <f t="shared" si="2"/>
        <v>SATISFACTORY</v>
      </c>
    </row>
    <row r="148" spans="1:18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  <c r="R148" t="str">
        <f t="shared" si="2"/>
        <v>SATISFACTORY</v>
      </c>
    </row>
    <row r="149" spans="1:18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  <c r="R149" t="str">
        <f t="shared" si="2"/>
        <v>SHORTAGE</v>
      </c>
    </row>
    <row r="150" spans="1:18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  <c r="R150" t="str">
        <f t="shared" si="2"/>
        <v>SHORTAGE</v>
      </c>
    </row>
    <row r="151" spans="1:18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  <c r="R151" t="str">
        <f t="shared" si="2"/>
        <v>SHORTAGE</v>
      </c>
    </row>
    <row r="152" spans="1:18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  <c r="R152" t="str">
        <f t="shared" si="2"/>
        <v>SATISFACTORY</v>
      </c>
    </row>
    <row r="153" spans="1:18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  <c r="R153" t="str">
        <f t="shared" si="2"/>
        <v>SHORTAGE</v>
      </c>
    </row>
    <row r="154" spans="1:18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  <c r="R154" t="str">
        <f t="shared" si="2"/>
        <v>SATISFACTORY</v>
      </c>
    </row>
    <row r="155" spans="1:18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  <c r="R155" t="str">
        <f t="shared" si="2"/>
        <v>SATISFACTORY</v>
      </c>
    </row>
    <row r="156" spans="1:18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  <c r="R156" t="str">
        <f t="shared" si="2"/>
        <v>SHORTAGE</v>
      </c>
    </row>
    <row r="157" spans="1:18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  <c r="R157" t="str">
        <f t="shared" si="2"/>
        <v>SHORTAGE</v>
      </c>
    </row>
    <row r="158" spans="1:18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  <c r="R158" t="str">
        <f t="shared" si="2"/>
        <v>SATISFACTORY</v>
      </c>
    </row>
    <row r="159" spans="1:18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  <c r="R159" t="str">
        <f t="shared" si="2"/>
        <v>SHORTAGE</v>
      </c>
    </row>
    <row r="160" spans="1:18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  <c r="R160" t="str">
        <f t="shared" si="2"/>
        <v>SHORTAGE</v>
      </c>
    </row>
    <row r="161" spans="1:18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  <c r="R161" t="str">
        <f t="shared" si="2"/>
        <v>SHORTAGE</v>
      </c>
    </row>
    <row r="162" spans="1:18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  <c r="R162" t="str">
        <f t="shared" si="2"/>
        <v>SATISFACTORY</v>
      </c>
    </row>
    <row r="163" spans="1:18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  <c r="R163" t="str">
        <f t="shared" si="2"/>
        <v>EXCELLENT</v>
      </c>
    </row>
    <row r="164" spans="1:18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  <c r="R164" t="str">
        <f t="shared" si="2"/>
        <v>SATISFACTORY</v>
      </c>
    </row>
    <row r="165" spans="1:18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  <c r="R165" t="str">
        <f t="shared" si="2"/>
        <v>SHORTAGE</v>
      </c>
    </row>
    <row r="166" spans="1:18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  <c r="R166" t="str">
        <f t="shared" si="2"/>
        <v>SATISFACTORY</v>
      </c>
    </row>
    <row r="167" spans="1:18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  <c r="R167" t="str">
        <f t="shared" si="2"/>
        <v>SHORTAGE</v>
      </c>
    </row>
    <row r="168" spans="1:18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  <c r="R168" t="str">
        <f t="shared" si="2"/>
        <v>SATISFACTORY</v>
      </c>
    </row>
    <row r="169" spans="1:18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  <c r="R169" t="str">
        <f t="shared" si="2"/>
        <v>SATISFACTORY</v>
      </c>
    </row>
    <row r="170" spans="1:18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  <c r="R170" t="str">
        <f t="shared" si="2"/>
        <v>SATISFACTORY</v>
      </c>
    </row>
    <row r="171" spans="1:18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  <c r="R171" t="str">
        <f t="shared" si="2"/>
        <v>SATISFACTORY</v>
      </c>
    </row>
    <row r="172" spans="1:18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  <c r="R172" t="str">
        <f t="shared" si="2"/>
        <v>SATISFACTORY</v>
      </c>
    </row>
    <row r="173" spans="1:18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  <c r="R173" t="str">
        <f t="shared" si="2"/>
        <v>EXCELLENT</v>
      </c>
    </row>
    <row r="174" spans="1:18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  <c r="R174" t="str">
        <f t="shared" si="2"/>
        <v>SATISFACTORY</v>
      </c>
    </row>
    <row r="175" spans="1:18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  <c r="R175" t="str">
        <f t="shared" si="2"/>
        <v>SATISFACTORY</v>
      </c>
    </row>
    <row r="176" spans="1:18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  <c r="R176" t="str">
        <f t="shared" si="2"/>
        <v>EXCELLENT</v>
      </c>
    </row>
    <row r="177" spans="1:18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  <c r="R177" t="str">
        <f t="shared" si="2"/>
        <v>SATISFACTORY</v>
      </c>
    </row>
    <row r="178" spans="1:18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  <c r="R178" t="str">
        <f t="shared" si="2"/>
        <v>SHORTAGE</v>
      </c>
    </row>
    <row r="179" spans="1:18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  <c r="R179" t="str">
        <f t="shared" si="2"/>
        <v>SATISFACTORY</v>
      </c>
    </row>
    <row r="180" spans="1:18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  <c r="R180" t="str">
        <f t="shared" si="2"/>
        <v>SATISFACTORY</v>
      </c>
    </row>
    <row r="181" spans="1:18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  <c r="R181" t="str">
        <f t="shared" si="2"/>
        <v>EXCELLENT</v>
      </c>
    </row>
    <row r="182" spans="1:18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  <c r="R182" t="str">
        <f t="shared" si="2"/>
        <v>SHORTAGE</v>
      </c>
    </row>
    <row r="183" spans="1:18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  <c r="R183" t="str">
        <f t="shared" si="2"/>
        <v>SATISFACTORY</v>
      </c>
    </row>
    <row r="184" spans="1:18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  <c r="R184" t="str">
        <f t="shared" si="2"/>
        <v>SATISFACTORY</v>
      </c>
    </row>
    <row r="185" spans="1:18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  <c r="R185" t="str">
        <f t="shared" si="2"/>
        <v>EXCELLENT</v>
      </c>
    </row>
    <row r="186" spans="1:18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  <c r="R186" t="str">
        <f t="shared" si="2"/>
        <v>SHORTAGE</v>
      </c>
    </row>
    <row r="187" spans="1:18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  <c r="R187" t="str">
        <f t="shared" si="2"/>
        <v>SHORTAGE</v>
      </c>
    </row>
    <row r="188" spans="1:18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  <c r="R188" t="str">
        <f t="shared" si="2"/>
        <v>SHORTAGE</v>
      </c>
    </row>
    <row r="189" spans="1:18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  <c r="R189" t="str">
        <f t="shared" si="2"/>
        <v>SHORTAGE</v>
      </c>
    </row>
    <row r="190" spans="1:18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  <c r="R190" t="str">
        <f t="shared" si="2"/>
        <v>SATISFACTORY</v>
      </c>
    </row>
    <row r="191" spans="1:18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  <c r="R191" t="str">
        <f t="shared" si="2"/>
        <v>SATISFACTORY</v>
      </c>
    </row>
    <row r="192" spans="1:18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  <c r="R192" t="str">
        <f t="shared" si="2"/>
        <v>SATISFACTORY</v>
      </c>
    </row>
    <row r="193" spans="1:18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  <c r="R193" t="str">
        <f t="shared" si="2"/>
        <v>SHORTAGE</v>
      </c>
    </row>
    <row r="194" spans="1:18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  <c r="R194" t="str">
        <f t="shared" si="2"/>
        <v>EXCELLENT</v>
      </c>
    </row>
    <row r="195" spans="1:18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  <c r="R195" t="str">
        <f t="shared" ref="R195:R249" si="3">IF(K195&gt;=90,"EXCELLENT",IF(K195&gt;75,"SATISFACTORY","SHORTAGE"))</f>
        <v>SHORTAGE</v>
      </c>
    </row>
    <row r="196" spans="1:18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  <c r="R196" t="str">
        <f t="shared" si="3"/>
        <v>SHORTAGE</v>
      </c>
    </row>
    <row r="197" spans="1:18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  <c r="R197" t="str">
        <f t="shared" si="3"/>
        <v>SATISFACTORY</v>
      </c>
    </row>
    <row r="198" spans="1:18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  <c r="R198" t="str">
        <f t="shared" si="3"/>
        <v>SHORTAGE</v>
      </c>
    </row>
    <row r="199" spans="1:18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  <c r="R199" t="str">
        <f t="shared" si="3"/>
        <v>SATISFACTORY</v>
      </c>
    </row>
    <row r="200" spans="1:18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  <c r="R200" t="str">
        <f t="shared" si="3"/>
        <v>SATISFACTORY</v>
      </c>
    </row>
    <row r="201" spans="1:18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  <c r="R201" t="str">
        <f t="shared" si="3"/>
        <v>SATISFACTORY</v>
      </c>
    </row>
    <row r="202" spans="1:18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  <c r="R202" t="str">
        <f t="shared" si="3"/>
        <v>SATISFACTORY</v>
      </c>
    </row>
    <row r="203" spans="1:18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  <c r="R203" t="str">
        <f t="shared" si="3"/>
        <v>SHORTAGE</v>
      </c>
    </row>
    <row r="204" spans="1:18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  <c r="R204" t="str">
        <f t="shared" si="3"/>
        <v>SATISFACTORY</v>
      </c>
    </row>
    <row r="205" spans="1:18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  <c r="R205" t="str">
        <f t="shared" si="3"/>
        <v>SATISFACTORY</v>
      </c>
    </row>
    <row r="206" spans="1:18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  <c r="R206" t="str">
        <f t="shared" si="3"/>
        <v>SHORTAGE</v>
      </c>
    </row>
    <row r="207" spans="1:18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  <c r="R207" t="str">
        <f t="shared" si="3"/>
        <v>SHORTAGE</v>
      </c>
    </row>
    <row r="208" spans="1:18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  <c r="R208" t="str">
        <f t="shared" si="3"/>
        <v>SATISFACTORY</v>
      </c>
    </row>
    <row r="209" spans="1:18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  <c r="R209" t="str">
        <f t="shared" si="3"/>
        <v>SHORTAGE</v>
      </c>
    </row>
    <row r="210" spans="1:18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  <c r="R210" t="str">
        <f t="shared" si="3"/>
        <v>SHORTAGE</v>
      </c>
    </row>
    <row r="211" spans="1:18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  <c r="R211" t="str">
        <f t="shared" si="3"/>
        <v>SATISFACTORY</v>
      </c>
    </row>
    <row r="212" spans="1:18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  <c r="R212" t="str">
        <f t="shared" si="3"/>
        <v>SHORTAGE</v>
      </c>
    </row>
    <row r="213" spans="1:18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  <c r="R213" t="str">
        <f t="shared" si="3"/>
        <v>SATISFACTORY</v>
      </c>
    </row>
    <row r="214" spans="1:18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  <c r="R214" t="str">
        <f t="shared" si="3"/>
        <v>EXCELLENT</v>
      </c>
    </row>
    <row r="215" spans="1:18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  <c r="R215" t="str">
        <f t="shared" si="3"/>
        <v>SATISFACTORY</v>
      </c>
    </row>
    <row r="216" spans="1:18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  <c r="R216" t="str">
        <f t="shared" si="3"/>
        <v>SATISFACTORY</v>
      </c>
    </row>
    <row r="217" spans="1:18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  <c r="R217" t="str">
        <f t="shared" si="3"/>
        <v>SATISFACTORY</v>
      </c>
    </row>
    <row r="218" spans="1:18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  <c r="R218" t="str">
        <f t="shared" si="3"/>
        <v>SHORTAGE</v>
      </c>
    </row>
    <row r="219" spans="1:18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  <c r="R219" t="str">
        <f t="shared" si="3"/>
        <v>EXCELLENT</v>
      </c>
    </row>
    <row r="220" spans="1:18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  <c r="R220" t="str">
        <f t="shared" si="3"/>
        <v>SHORTAGE</v>
      </c>
    </row>
    <row r="221" spans="1:18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  <c r="R221" t="str">
        <f t="shared" si="3"/>
        <v>EXCELLENT</v>
      </c>
    </row>
    <row r="222" spans="1:18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  <c r="R222" t="str">
        <f t="shared" si="3"/>
        <v>SHORTAGE</v>
      </c>
    </row>
    <row r="223" spans="1:18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  <c r="R223" t="str">
        <f t="shared" si="3"/>
        <v>SATISFACTORY</v>
      </c>
    </row>
    <row r="224" spans="1:18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  <c r="R224" t="str">
        <f t="shared" si="3"/>
        <v>SATISFACTORY</v>
      </c>
    </row>
    <row r="225" spans="1:18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  <c r="R225" t="str">
        <f t="shared" si="3"/>
        <v>EXCELLENT</v>
      </c>
    </row>
    <row r="226" spans="1:18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  <c r="R226" t="str">
        <f t="shared" si="3"/>
        <v>SHORTAGE</v>
      </c>
    </row>
    <row r="227" spans="1:18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  <c r="R227" t="str">
        <f t="shared" si="3"/>
        <v>EXCELLENT</v>
      </c>
    </row>
    <row r="228" spans="1:18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  <c r="R228" t="str">
        <f t="shared" si="3"/>
        <v>EXCELLENT</v>
      </c>
    </row>
    <row r="229" spans="1:18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  <c r="R229" t="str">
        <f t="shared" si="3"/>
        <v>SHORTAGE</v>
      </c>
    </row>
    <row r="230" spans="1:18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  <c r="R230" t="str">
        <f t="shared" si="3"/>
        <v>SHORTAGE</v>
      </c>
    </row>
    <row r="231" spans="1:18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  <c r="R231" t="str">
        <f t="shared" si="3"/>
        <v>EXCELLENT</v>
      </c>
    </row>
    <row r="232" spans="1:18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  <c r="R232" t="str">
        <f t="shared" si="3"/>
        <v>SATISFACTORY</v>
      </c>
    </row>
    <row r="233" spans="1:18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  <c r="R233" t="str">
        <f t="shared" si="3"/>
        <v>SATISFACTORY</v>
      </c>
    </row>
    <row r="234" spans="1:18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  <c r="R234" t="str">
        <f t="shared" si="3"/>
        <v>EXCELLENT</v>
      </c>
    </row>
    <row r="235" spans="1:18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  <c r="R235" t="str">
        <f t="shared" si="3"/>
        <v>SATISFACTORY</v>
      </c>
    </row>
    <row r="236" spans="1:18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  <c r="R236" t="str">
        <f t="shared" si="3"/>
        <v>SATISFACTORY</v>
      </c>
    </row>
    <row r="237" spans="1:18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  <c r="R237" t="str">
        <f t="shared" si="3"/>
        <v>SHORTAGE</v>
      </c>
    </row>
    <row r="238" spans="1:18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  <c r="R238" t="str">
        <f t="shared" si="3"/>
        <v>SATISFACTORY</v>
      </c>
    </row>
    <row r="239" spans="1:18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  <c r="R239" t="str">
        <f t="shared" si="3"/>
        <v>SATISFACTORY</v>
      </c>
    </row>
    <row r="240" spans="1:18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  <c r="R240" t="str">
        <f t="shared" si="3"/>
        <v>SHORTAGE</v>
      </c>
    </row>
    <row r="241" spans="1:18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  <c r="R241" t="str">
        <f t="shared" si="3"/>
        <v>EXCELLENT</v>
      </c>
    </row>
    <row r="242" spans="1:18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  <c r="R242" t="str">
        <f t="shared" si="3"/>
        <v>SHORTAGE</v>
      </c>
    </row>
    <row r="243" spans="1:18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  <c r="R243" t="str">
        <f t="shared" si="3"/>
        <v>SATISFACTORY</v>
      </c>
    </row>
    <row r="244" spans="1:18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  <c r="R244" t="str">
        <f t="shared" si="3"/>
        <v>SHORTAGE</v>
      </c>
    </row>
    <row r="245" spans="1:18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  <c r="R245" t="str">
        <f t="shared" si="3"/>
        <v>SHORTAGE</v>
      </c>
    </row>
    <row r="246" spans="1:18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  <c r="R246" t="str">
        <f t="shared" si="3"/>
        <v>SHORTAGE</v>
      </c>
    </row>
    <row r="247" spans="1:18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  <c r="R247" t="str">
        <f t="shared" si="3"/>
        <v>SHORTAGE</v>
      </c>
    </row>
    <row r="248" spans="1:18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  <c r="R248" t="str">
        <f t="shared" si="3"/>
        <v>EXCELLENT</v>
      </c>
    </row>
    <row r="249" spans="1:18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  <c r="R249" t="str">
        <f t="shared" si="3"/>
        <v>SATISFACTORY</v>
      </c>
    </row>
    <row r="250" spans="1:18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8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0A88-9271-4E0D-96B6-E916A587C988}">
  <dimension ref="A1:Q251"/>
  <sheetViews>
    <sheetView topLeftCell="M1" workbookViewId="0">
      <selection activeCell="Q2" sqref="Q2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81.08984375" bestFit="1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17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Q1" s="25" t="s">
        <v>11</v>
      </c>
    </row>
    <row r="2" spans="1:17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Q2">
        <f>AVERAGEIF(D2:D251,"Female",I2:I251)</f>
        <v>61.742647058823529</v>
      </c>
    </row>
    <row r="3" spans="1:17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</row>
    <row r="4" spans="1:17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</row>
    <row r="5" spans="1:17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</row>
    <row r="6" spans="1:17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</row>
    <row r="7" spans="1:17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17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17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17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17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17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17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</row>
    <row r="14" spans="1:17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</row>
    <row r="15" spans="1:17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</row>
    <row r="16" spans="1:17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</row>
    <row r="17" spans="1:1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</row>
    <row r="18" spans="1:1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</row>
    <row r="19" spans="1:1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5B7E-5BBD-4008-AD84-7FBDBBA54416}">
  <dimension ref="A1:Q251"/>
  <sheetViews>
    <sheetView topLeftCell="B1" zoomScale="57" workbookViewId="0">
      <selection activeCell="Q3" sqref="Q3"/>
    </sheetView>
  </sheetViews>
  <sheetFormatPr defaultRowHeight="14.5" x14ac:dyDescent="0.35"/>
  <cols>
    <col min="1" max="1" width="10.26953125" bestFit="1" customWidth="1"/>
    <col min="2" max="2" width="15.54296875" bestFit="1" customWidth="1"/>
    <col min="3" max="3" width="11.453125" bestFit="1" customWidth="1"/>
    <col min="4" max="4" width="7.54296875" bestFit="1" customWidth="1"/>
    <col min="5" max="5" width="11.54296875" bestFit="1" customWidth="1"/>
    <col min="6" max="6" width="14.7265625" bestFit="1" customWidth="1"/>
    <col min="7" max="7" width="6.453125" bestFit="1" customWidth="1"/>
    <col min="8" max="8" width="7.08984375" bestFit="1" customWidth="1"/>
    <col min="9" max="9" width="12.81640625" bestFit="1" customWidth="1"/>
    <col min="10" max="10" width="6.90625" bestFit="1" customWidth="1"/>
    <col min="11" max="11" width="14.6328125" bestFit="1" customWidth="1"/>
    <col min="12" max="12" width="13.6328125" bestFit="1" customWidth="1"/>
    <col min="13" max="13" width="103.7265625" bestFit="1" customWidth="1"/>
    <col min="14" max="14" width="6.26953125" bestFit="1" customWidth="1"/>
    <col min="15" max="15" width="11.453125" bestFit="1" customWidth="1"/>
    <col min="16" max="16" width="8.54296875" bestFit="1" customWidth="1"/>
  </cols>
  <sheetData>
    <row r="1" spans="1:17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Q1" s="25" t="s">
        <v>9</v>
      </c>
    </row>
    <row r="2" spans="1:17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Q2">
        <f>COUNTIF(K2:K251,"&gt;75%")</f>
        <v>250</v>
      </c>
    </row>
    <row r="3" spans="1:17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</row>
    <row r="4" spans="1:17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</row>
    <row r="5" spans="1:17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</row>
    <row r="6" spans="1:17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</row>
    <row r="7" spans="1:17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17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17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17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17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17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17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</row>
    <row r="14" spans="1:17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</row>
    <row r="15" spans="1:17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</row>
    <row r="16" spans="1:17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</row>
    <row r="17" spans="1:1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</row>
    <row r="18" spans="1:1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</row>
    <row r="19" spans="1:1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E649-567C-4EB6-8F58-C4DD7427C340}">
  <dimension ref="A1:AC251"/>
  <sheetViews>
    <sheetView topLeftCell="K1" zoomScale="72" workbookViewId="0">
      <selection activeCell="AA2" sqref="AA2"/>
    </sheetView>
  </sheetViews>
  <sheetFormatPr defaultRowHeight="14.5" x14ac:dyDescent="0.35"/>
  <cols>
    <col min="1" max="1" width="7.4531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1.26953125" bestFit="1" customWidth="1"/>
    <col min="7" max="7" width="6.1796875" bestFit="1" customWidth="1"/>
    <col min="8" max="8" width="6.81640625" bestFit="1" customWidth="1"/>
    <col min="9" max="9" width="8" bestFit="1" customWidth="1"/>
    <col min="10" max="10" width="6.6328125" bestFit="1" customWidth="1"/>
    <col min="12" max="12" width="7.7265625" bestFit="1" customWidth="1"/>
    <col min="13" max="13" width="17.81640625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29" ht="43.5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W1" t="s">
        <v>546</v>
      </c>
      <c r="X1" t="s">
        <v>548</v>
      </c>
      <c r="Z1" t="s">
        <v>70</v>
      </c>
      <c r="AA1" t="s">
        <v>547</v>
      </c>
      <c r="AC1" t="s">
        <v>549</v>
      </c>
    </row>
    <row r="2" spans="1:29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W2">
        <f>ROUND(X2/400*100,2)</f>
        <v>58.5</v>
      </c>
      <c r="X2">
        <f>G2+H2+I2+J2</f>
        <v>234</v>
      </c>
      <c r="Z2" t="e">
        <f>VLOOKUP(W2,A2:X251,13,0)</f>
        <v>#N/A</v>
      </c>
      <c r="AA2" t="str">
        <f>IF(AND(G2&gt;=35,H2&gt;=35,I2&gt;=35,J2&gt;=35,K2&gt;=75),"PASS","FAIL")</f>
        <v>FAIL</v>
      </c>
    </row>
    <row r="3" spans="1:29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  <c r="W3">
        <f t="shared" ref="W3:W4" si="0">ROUND(X3/400*100,2)</f>
        <v>67.25</v>
      </c>
      <c r="X3">
        <f t="shared" ref="X3:X66" si="1">G3+H3+I3+J3</f>
        <v>269</v>
      </c>
      <c r="AA3" t="str">
        <f t="shared" ref="AA3:AA66" si="2">IF(AND(G3&gt;=35,H3&gt;=35,I3&gt;=35,J3&gt;=35,K3&gt;=75),"PASS","FAIL")</f>
        <v>PASS</v>
      </c>
    </row>
    <row r="4" spans="1:29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  <c r="W4">
        <f t="shared" si="0"/>
        <v>73.25</v>
      </c>
      <c r="X4">
        <f t="shared" si="1"/>
        <v>293</v>
      </c>
      <c r="AA4" t="str">
        <f t="shared" si="2"/>
        <v>PASS</v>
      </c>
    </row>
    <row r="5" spans="1:29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  <c r="W5">
        <f t="shared" ref="W3:W66" si="3">ROUND(X5/400*100,2)</f>
        <v>50.25</v>
      </c>
      <c r="X5">
        <f t="shared" si="1"/>
        <v>201</v>
      </c>
      <c r="AA5" t="str">
        <f t="shared" si="2"/>
        <v>PASS</v>
      </c>
    </row>
    <row r="6" spans="1:29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  <c r="W6">
        <f t="shared" si="3"/>
        <v>56.25</v>
      </c>
      <c r="X6">
        <f t="shared" si="1"/>
        <v>225</v>
      </c>
      <c r="AA6" t="str">
        <f t="shared" si="2"/>
        <v>PASS</v>
      </c>
    </row>
    <row r="7" spans="1:29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  <c r="W7">
        <f t="shared" si="3"/>
        <v>82.75</v>
      </c>
      <c r="X7">
        <f t="shared" si="1"/>
        <v>331</v>
      </c>
      <c r="AA7" t="str">
        <f t="shared" si="2"/>
        <v>PASS</v>
      </c>
    </row>
    <row r="8" spans="1:29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  <c r="W8">
        <f t="shared" si="3"/>
        <v>46</v>
      </c>
      <c r="X8">
        <f t="shared" si="1"/>
        <v>184</v>
      </c>
      <c r="AA8" t="str">
        <f t="shared" si="2"/>
        <v>FAIL</v>
      </c>
    </row>
    <row r="9" spans="1:29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  <c r="W9">
        <f t="shared" si="3"/>
        <v>94.5</v>
      </c>
      <c r="X9">
        <f t="shared" si="1"/>
        <v>378</v>
      </c>
      <c r="AA9" t="str">
        <f t="shared" si="2"/>
        <v>PASS</v>
      </c>
    </row>
    <row r="10" spans="1:29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  <c r="W10">
        <f t="shared" si="3"/>
        <v>76</v>
      </c>
      <c r="X10">
        <f t="shared" si="1"/>
        <v>304</v>
      </c>
      <c r="AA10" t="str">
        <f t="shared" si="2"/>
        <v>FAIL</v>
      </c>
    </row>
    <row r="11" spans="1:29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  <c r="W11">
        <f t="shared" si="3"/>
        <v>69</v>
      </c>
      <c r="X11">
        <f t="shared" si="1"/>
        <v>276</v>
      </c>
      <c r="AA11" t="str">
        <f t="shared" si="2"/>
        <v>PASS</v>
      </c>
    </row>
    <row r="12" spans="1:29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  <c r="W12">
        <f t="shared" si="3"/>
        <v>46</v>
      </c>
      <c r="X12">
        <f t="shared" si="1"/>
        <v>184</v>
      </c>
      <c r="AA12" t="str">
        <f t="shared" si="2"/>
        <v>PASS</v>
      </c>
    </row>
    <row r="13" spans="1:29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  <c r="W13">
        <f t="shared" si="3"/>
        <v>55.25</v>
      </c>
      <c r="X13">
        <f t="shared" si="1"/>
        <v>221</v>
      </c>
      <c r="AA13" t="str">
        <f t="shared" si="2"/>
        <v>PASS</v>
      </c>
    </row>
    <row r="14" spans="1:29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  <c r="W14">
        <f t="shared" si="3"/>
        <v>93</v>
      </c>
      <c r="X14">
        <f t="shared" si="1"/>
        <v>372</v>
      </c>
      <c r="AA14" t="str">
        <f t="shared" si="2"/>
        <v>FAIL</v>
      </c>
    </row>
    <row r="15" spans="1:29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  <c r="W15">
        <f t="shared" si="3"/>
        <v>82.25</v>
      </c>
      <c r="X15">
        <f t="shared" si="1"/>
        <v>329</v>
      </c>
      <c r="AA15" t="str">
        <f t="shared" si="2"/>
        <v>PASS</v>
      </c>
    </row>
    <row r="16" spans="1:29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  <c r="W16">
        <f t="shared" si="3"/>
        <v>86.25</v>
      </c>
      <c r="X16">
        <f t="shared" si="1"/>
        <v>345</v>
      </c>
      <c r="AA16" t="str">
        <f t="shared" si="2"/>
        <v>PASS</v>
      </c>
    </row>
    <row r="17" spans="1:27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  <c r="W17">
        <f t="shared" si="3"/>
        <v>33.75</v>
      </c>
      <c r="X17">
        <f t="shared" si="1"/>
        <v>135</v>
      </c>
      <c r="AA17" t="str">
        <f t="shared" si="2"/>
        <v>FAIL</v>
      </c>
    </row>
    <row r="18" spans="1:27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  <c r="W18">
        <f t="shared" si="3"/>
        <v>61.5</v>
      </c>
      <c r="X18">
        <f t="shared" si="1"/>
        <v>246</v>
      </c>
      <c r="AA18" t="str">
        <f t="shared" si="2"/>
        <v>FAIL</v>
      </c>
    </row>
    <row r="19" spans="1:27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  <c r="W19">
        <f t="shared" si="3"/>
        <v>45</v>
      </c>
      <c r="X19">
        <f t="shared" si="1"/>
        <v>180</v>
      </c>
      <c r="AA19" t="str">
        <f t="shared" si="2"/>
        <v>FAIL</v>
      </c>
    </row>
    <row r="20" spans="1:27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  <c r="W20">
        <f t="shared" si="3"/>
        <v>56.75</v>
      </c>
      <c r="X20">
        <f t="shared" si="1"/>
        <v>227</v>
      </c>
      <c r="AA20" t="str">
        <f t="shared" si="2"/>
        <v>PASS</v>
      </c>
    </row>
    <row r="21" spans="1:27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  <c r="W21">
        <f t="shared" si="3"/>
        <v>57</v>
      </c>
      <c r="X21">
        <f t="shared" si="1"/>
        <v>228</v>
      </c>
      <c r="AA21" t="str">
        <f t="shared" si="2"/>
        <v>PASS</v>
      </c>
    </row>
    <row r="22" spans="1:27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  <c r="W22">
        <f t="shared" si="3"/>
        <v>58.25</v>
      </c>
      <c r="X22">
        <f t="shared" si="1"/>
        <v>233</v>
      </c>
      <c r="AA22" t="str">
        <f t="shared" si="2"/>
        <v>FAIL</v>
      </c>
    </row>
    <row r="23" spans="1:27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  <c r="W23">
        <f t="shared" si="3"/>
        <v>52.5</v>
      </c>
      <c r="X23">
        <f t="shared" si="1"/>
        <v>210</v>
      </c>
      <c r="AA23" t="str">
        <f t="shared" si="2"/>
        <v>FAIL</v>
      </c>
    </row>
    <row r="24" spans="1:27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  <c r="W24">
        <f t="shared" si="3"/>
        <v>65.5</v>
      </c>
      <c r="X24">
        <f t="shared" si="1"/>
        <v>262</v>
      </c>
      <c r="AA24" t="str">
        <f t="shared" si="2"/>
        <v>FAIL</v>
      </c>
    </row>
    <row r="25" spans="1:27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  <c r="W25">
        <f t="shared" si="3"/>
        <v>58.25</v>
      </c>
      <c r="X25">
        <f t="shared" si="1"/>
        <v>233</v>
      </c>
      <c r="AA25" t="str">
        <f t="shared" si="2"/>
        <v>PASS</v>
      </c>
    </row>
    <row r="26" spans="1:27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  <c r="W26">
        <f t="shared" si="3"/>
        <v>47</v>
      </c>
      <c r="X26">
        <f t="shared" si="1"/>
        <v>188</v>
      </c>
      <c r="AA26" t="str">
        <f t="shared" si="2"/>
        <v>FAIL</v>
      </c>
    </row>
    <row r="27" spans="1:27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  <c r="W27">
        <f t="shared" si="3"/>
        <v>65</v>
      </c>
      <c r="X27">
        <f t="shared" si="1"/>
        <v>260</v>
      </c>
      <c r="AA27" t="str">
        <f t="shared" si="2"/>
        <v>FAIL</v>
      </c>
    </row>
    <row r="28" spans="1:27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  <c r="W28">
        <f t="shared" si="3"/>
        <v>75.25</v>
      </c>
      <c r="X28">
        <f t="shared" si="1"/>
        <v>301</v>
      </c>
      <c r="AA28" t="str">
        <f t="shared" si="2"/>
        <v>PASS</v>
      </c>
    </row>
    <row r="29" spans="1:27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  <c r="W29">
        <f t="shared" si="3"/>
        <v>82.75</v>
      </c>
      <c r="X29">
        <f t="shared" si="1"/>
        <v>331</v>
      </c>
      <c r="AA29" t="str">
        <f t="shared" si="2"/>
        <v>PASS</v>
      </c>
    </row>
    <row r="30" spans="1:27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  <c r="W30">
        <f t="shared" si="3"/>
        <v>77.25</v>
      </c>
      <c r="X30">
        <f t="shared" si="1"/>
        <v>309</v>
      </c>
      <c r="AA30" t="str">
        <f t="shared" si="2"/>
        <v>FAIL</v>
      </c>
    </row>
    <row r="31" spans="1:27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  <c r="W31">
        <f t="shared" si="3"/>
        <v>60.5</v>
      </c>
      <c r="X31">
        <f t="shared" si="1"/>
        <v>242</v>
      </c>
      <c r="AA31" t="str">
        <f t="shared" si="2"/>
        <v>PASS</v>
      </c>
    </row>
    <row r="32" spans="1:27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  <c r="W32">
        <f t="shared" si="3"/>
        <v>19.75</v>
      </c>
      <c r="X32">
        <f t="shared" si="1"/>
        <v>79</v>
      </c>
      <c r="AA32" t="str">
        <f t="shared" si="2"/>
        <v>FAIL</v>
      </c>
    </row>
    <row r="33" spans="1:27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  <c r="W33">
        <f t="shared" si="3"/>
        <v>82.25</v>
      </c>
      <c r="X33">
        <f t="shared" si="1"/>
        <v>329</v>
      </c>
      <c r="AA33" t="str">
        <f t="shared" si="2"/>
        <v>PASS</v>
      </c>
    </row>
    <row r="34" spans="1:27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  <c r="W34">
        <f t="shared" si="3"/>
        <v>53.5</v>
      </c>
      <c r="X34">
        <f t="shared" si="1"/>
        <v>214</v>
      </c>
      <c r="AA34" t="str">
        <f t="shared" si="2"/>
        <v>PASS</v>
      </c>
    </row>
    <row r="35" spans="1:27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  <c r="W35">
        <f t="shared" si="3"/>
        <v>84.5</v>
      </c>
      <c r="X35">
        <f t="shared" si="1"/>
        <v>338</v>
      </c>
      <c r="AA35" t="str">
        <f t="shared" si="2"/>
        <v>PASS</v>
      </c>
    </row>
    <row r="36" spans="1:27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  <c r="W36">
        <f t="shared" si="3"/>
        <v>42.5</v>
      </c>
      <c r="X36">
        <f t="shared" si="1"/>
        <v>170</v>
      </c>
      <c r="AA36" t="str">
        <f t="shared" si="2"/>
        <v>FAIL</v>
      </c>
    </row>
    <row r="37" spans="1:27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  <c r="W37">
        <f t="shared" si="3"/>
        <v>43.5</v>
      </c>
      <c r="X37">
        <f t="shared" si="1"/>
        <v>174</v>
      </c>
      <c r="AA37" t="str">
        <f t="shared" si="2"/>
        <v>FAIL</v>
      </c>
    </row>
    <row r="38" spans="1:27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  <c r="W38">
        <f t="shared" si="3"/>
        <v>74</v>
      </c>
      <c r="X38">
        <f t="shared" si="1"/>
        <v>296</v>
      </c>
      <c r="AA38" t="str">
        <f t="shared" si="2"/>
        <v>PASS</v>
      </c>
    </row>
    <row r="39" spans="1:27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  <c r="W39">
        <f t="shared" si="3"/>
        <v>41.5</v>
      </c>
      <c r="X39">
        <f t="shared" si="1"/>
        <v>166</v>
      </c>
      <c r="AA39" t="str">
        <f t="shared" si="2"/>
        <v>FAIL</v>
      </c>
    </row>
    <row r="40" spans="1:27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  <c r="W40">
        <f t="shared" si="3"/>
        <v>66.5</v>
      </c>
      <c r="X40">
        <f t="shared" si="1"/>
        <v>266</v>
      </c>
      <c r="AA40" t="str">
        <f t="shared" si="2"/>
        <v>PASS</v>
      </c>
    </row>
    <row r="41" spans="1:27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  <c r="W41">
        <f t="shared" si="3"/>
        <v>65.25</v>
      </c>
      <c r="X41">
        <f t="shared" si="1"/>
        <v>261</v>
      </c>
      <c r="AA41" t="str">
        <f t="shared" si="2"/>
        <v>PASS</v>
      </c>
    </row>
    <row r="42" spans="1:27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  <c r="W42">
        <f t="shared" si="3"/>
        <v>79.75</v>
      </c>
      <c r="X42">
        <f t="shared" si="1"/>
        <v>319</v>
      </c>
      <c r="AA42" t="str">
        <f t="shared" si="2"/>
        <v>PASS</v>
      </c>
    </row>
    <row r="43" spans="1:27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  <c r="W43">
        <f t="shared" si="3"/>
        <v>79.25</v>
      </c>
      <c r="X43">
        <f t="shared" si="1"/>
        <v>317</v>
      </c>
      <c r="AA43" t="str">
        <f t="shared" si="2"/>
        <v>PASS</v>
      </c>
    </row>
    <row r="44" spans="1:27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  <c r="W44">
        <f t="shared" si="3"/>
        <v>64</v>
      </c>
      <c r="X44">
        <f t="shared" si="1"/>
        <v>256</v>
      </c>
      <c r="AA44" t="str">
        <f t="shared" si="2"/>
        <v>PASS</v>
      </c>
    </row>
    <row r="45" spans="1:27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  <c r="W45">
        <f t="shared" si="3"/>
        <v>49</v>
      </c>
      <c r="X45">
        <f t="shared" si="1"/>
        <v>196</v>
      </c>
      <c r="AA45" t="str">
        <f t="shared" si="2"/>
        <v>PASS</v>
      </c>
    </row>
    <row r="46" spans="1:27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  <c r="W46">
        <f t="shared" si="3"/>
        <v>59.25</v>
      </c>
      <c r="X46">
        <f t="shared" si="1"/>
        <v>237</v>
      </c>
      <c r="AA46" t="str">
        <f t="shared" si="2"/>
        <v>FAIL</v>
      </c>
    </row>
    <row r="47" spans="1:27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  <c r="W47">
        <f t="shared" si="3"/>
        <v>45.25</v>
      </c>
      <c r="X47">
        <f t="shared" si="1"/>
        <v>181</v>
      </c>
      <c r="AA47" t="str">
        <f t="shared" si="2"/>
        <v>PASS</v>
      </c>
    </row>
    <row r="48" spans="1:27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  <c r="W48">
        <f t="shared" si="3"/>
        <v>49.75</v>
      </c>
      <c r="X48">
        <f t="shared" si="1"/>
        <v>199</v>
      </c>
      <c r="AA48" t="str">
        <f t="shared" si="2"/>
        <v>PASS</v>
      </c>
    </row>
    <row r="49" spans="1:27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  <c r="W49">
        <f t="shared" si="3"/>
        <v>53.5</v>
      </c>
      <c r="X49">
        <f t="shared" si="1"/>
        <v>214</v>
      </c>
      <c r="AA49" t="str">
        <f t="shared" si="2"/>
        <v>PASS</v>
      </c>
    </row>
    <row r="50" spans="1:27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  <c r="W50">
        <f t="shared" si="3"/>
        <v>84.25</v>
      </c>
      <c r="X50">
        <f t="shared" si="1"/>
        <v>337</v>
      </c>
      <c r="AA50" t="str">
        <f t="shared" si="2"/>
        <v>PASS</v>
      </c>
    </row>
    <row r="51" spans="1:27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  <c r="W51">
        <f t="shared" si="3"/>
        <v>76.5</v>
      </c>
      <c r="X51">
        <f t="shared" si="1"/>
        <v>306</v>
      </c>
      <c r="AA51" t="str">
        <f t="shared" si="2"/>
        <v>PASS</v>
      </c>
    </row>
    <row r="52" spans="1:27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  <c r="W52">
        <f t="shared" si="3"/>
        <v>42.75</v>
      </c>
      <c r="X52">
        <f t="shared" si="1"/>
        <v>171</v>
      </c>
      <c r="AA52" t="str">
        <f t="shared" si="2"/>
        <v>PASS</v>
      </c>
    </row>
    <row r="53" spans="1:27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  <c r="W53">
        <f t="shared" si="3"/>
        <v>75.5</v>
      </c>
      <c r="X53">
        <f t="shared" si="1"/>
        <v>302</v>
      </c>
      <c r="AA53" t="str">
        <f t="shared" si="2"/>
        <v>PASS</v>
      </c>
    </row>
    <row r="54" spans="1:27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  <c r="W54">
        <f t="shared" si="3"/>
        <v>78.75</v>
      </c>
      <c r="X54">
        <f t="shared" si="1"/>
        <v>315</v>
      </c>
      <c r="AA54" t="str">
        <f t="shared" si="2"/>
        <v>FAIL</v>
      </c>
    </row>
    <row r="55" spans="1:27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  <c r="W55">
        <f t="shared" si="3"/>
        <v>89</v>
      </c>
      <c r="X55">
        <f t="shared" si="1"/>
        <v>356</v>
      </c>
      <c r="AA55" t="str">
        <f t="shared" si="2"/>
        <v>PASS</v>
      </c>
    </row>
    <row r="56" spans="1:27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  <c r="W56">
        <f t="shared" si="3"/>
        <v>62</v>
      </c>
      <c r="X56">
        <f t="shared" si="1"/>
        <v>248</v>
      </c>
      <c r="AA56" t="str">
        <f t="shared" si="2"/>
        <v>PASS</v>
      </c>
    </row>
    <row r="57" spans="1:27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  <c r="W57">
        <f t="shared" si="3"/>
        <v>82.25</v>
      </c>
      <c r="X57">
        <f t="shared" si="1"/>
        <v>329</v>
      </c>
      <c r="AA57" t="str">
        <f t="shared" si="2"/>
        <v>FAIL</v>
      </c>
    </row>
    <row r="58" spans="1:27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  <c r="W58">
        <f t="shared" si="3"/>
        <v>48.75</v>
      </c>
      <c r="X58">
        <f t="shared" si="1"/>
        <v>195</v>
      </c>
      <c r="AA58" t="str">
        <f t="shared" si="2"/>
        <v>PASS</v>
      </c>
    </row>
    <row r="59" spans="1:27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  <c r="W59">
        <f t="shared" si="3"/>
        <v>35.75</v>
      </c>
      <c r="X59">
        <f t="shared" si="1"/>
        <v>143</v>
      </c>
      <c r="AA59" t="str">
        <f t="shared" si="2"/>
        <v>FAIL</v>
      </c>
    </row>
    <row r="60" spans="1:27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  <c r="W60">
        <f t="shared" si="3"/>
        <v>55.75</v>
      </c>
      <c r="X60">
        <f t="shared" si="1"/>
        <v>223</v>
      </c>
      <c r="AA60" t="str">
        <f t="shared" si="2"/>
        <v>PASS</v>
      </c>
    </row>
    <row r="61" spans="1:27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  <c r="W61">
        <f t="shared" si="3"/>
        <v>38.25</v>
      </c>
      <c r="X61">
        <f t="shared" si="1"/>
        <v>153</v>
      </c>
      <c r="AA61" t="str">
        <f t="shared" si="2"/>
        <v>FAIL</v>
      </c>
    </row>
    <row r="62" spans="1:27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  <c r="W62">
        <f t="shared" si="3"/>
        <v>69</v>
      </c>
      <c r="X62">
        <f t="shared" si="1"/>
        <v>276</v>
      </c>
      <c r="AA62" t="str">
        <f t="shared" si="2"/>
        <v>PASS</v>
      </c>
    </row>
    <row r="63" spans="1:27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  <c r="W63">
        <f t="shared" si="3"/>
        <v>70</v>
      </c>
      <c r="X63">
        <f t="shared" si="1"/>
        <v>280</v>
      </c>
      <c r="AA63" t="str">
        <f t="shared" si="2"/>
        <v>FAIL</v>
      </c>
    </row>
    <row r="64" spans="1:27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  <c r="W64">
        <f t="shared" si="3"/>
        <v>23.5</v>
      </c>
      <c r="X64">
        <f t="shared" si="1"/>
        <v>94</v>
      </c>
      <c r="AA64" t="str">
        <f t="shared" si="2"/>
        <v>FAIL</v>
      </c>
    </row>
    <row r="65" spans="1:27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  <c r="W65">
        <f t="shared" si="3"/>
        <v>54.75</v>
      </c>
      <c r="X65">
        <f t="shared" si="1"/>
        <v>219</v>
      </c>
      <c r="AA65" t="str">
        <f t="shared" si="2"/>
        <v>PASS</v>
      </c>
    </row>
    <row r="66" spans="1:27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  <c r="W66">
        <f t="shared" si="3"/>
        <v>93.25</v>
      </c>
      <c r="X66">
        <f t="shared" si="1"/>
        <v>373</v>
      </c>
      <c r="AA66" t="str">
        <f t="shared" si="2"/>
        <v>PASS</v>
      </c>
    </row>
    <row r="67" spans="1:27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  <c r="W67">
        <f t="shared" ref="W67:W130" si="4">ROUND(X67/400*100,2)</f>
        <v>74.5</v>
      </c>
      <c r="X67">
        <f t="shared" ref="X67:X130" si="5">G67+H67+I67+J67</f>
        <v>298</v>
      </c>
      <c r="AA67" t="str">
        <f t="shared" ref="AA67:AA130" si="6">IF(AND(G67&gt;=35,H67&gt;=35,I67&gt;=35,J67&gt;=35,K67&gt;=75),"PASS","FAIL")</f>
        <v>PASS</v>
      </c>
    </row>
    <row r="68" spans="1:27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  <c r="W68">
        <f t="shared" si="4"/>
        <v>30.75</v>
      </c>
      <c r="X68">
        <f t="shared" si="5"/>
        <v>123</v>
      </c>
      <c r="AA68" t="str">
        <f t="shared" si="6"/>
        <v>FAIL</v>
      </c>
    </row>
    <row r="69" spans="1:27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  <c r="W69">
        <f t="shared" si="4"/>
        <v>71.5</v>
      </c>
      <c r="X69">
        <f t="shared" si="5"/>
        <v>286</v>
      </c>
      <c r="AA69" t="str">
        <f t="shared" si="6"/>
        <v>FAIL</v>
      </c>
    </row>
    <row r="70" spans="1:27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  <c r="W70">
        <f t="shared" si="4"/>
        <v>82.5</v>
      </c>
      <c r="X70">
        <f t="shared" si="5"/>
        <v>330</v>
      </c>
      <c r="AA70" t="str">
        <f t="shared" si="6"/>
        <v>FAIL</v>
      </c>
    </row>
    <row r="71" spans="1:27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  <c r="W71">
        <f t="shared" si="4"/>
        <v>34.5</v>
      </c>
      <c r="X71">
        <f t="shared" si="5"/>
        <v>138</v>
      </c>
      <c r="AA71" t="str">
        <f t="shared" si="6"/>
        <v>FAIL</v>
      </c>
    </row>
    <row r="72" spans="1:27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  <c r="W72">
        <f t="shared" si="4"/>
        <v>33.5</v>
      </c>
      <c r="X72">
        <f t="shared" si="5"/>
        <v>134</v>
      </c>
      <c r="AA72" t="str">
        <f t="shared" si="6"/>
        <v>FAIL</v>
      </c>
    </row>
    <row r="73" spans="1:27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  <c r="W73">
        <f t="shared" si="4"/>
        <v>41</v>
      </c>
      <c r="X73">
        <f t="shared" si="5"/>
        <v>164</v>
      </c>
      <c r="AA73" t="str">
        <f t="shared" si="6"/>
        <v>FAIL</v>
      </c>
    </row>
    <row r="74" spans="1:27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  <c r="W74">
        <f t="shared" si="4"/>
        <v>92.75</v>
      </c>
      <c r="X74">
        <f t="shared" si="5"/>
        <v>371</v>
      </c>
      <c r="AA74" t="str">
        <f t="shared" si="6"/>
        <v>FAIL</v>
      </c>
    </row>
    <row r="75" spans="1:27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  <c r="W75">
        <f t="shared" si="4"/>
        <v>91.75</v>
      </c>
      <c r="X75">
        <f t="shared" si="5"/>
        <v>367</v>
      </c>
      <c r="AA75" t="str">
        <f t="shared" si="6"/>
        <v>PASS</v>
      </c>
    </row>
    <row r="76" spans="1:27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  <c r="W76">
        <f t="shared" si="4"/>
        <v>60.25</v>
      </c>
      <c r="X76">
        <f t="shared" si="5"/>
        <v>241</v>
      </c>
      <c r="AA76" t="str">
        <f t="shared" si="6"/>
        <v>PASS</v>
      </c>
    </row>
    <row r="77" spans="1:27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  <c r="W77">
        <f t="shared" si="4"/>
        <v>56.25</v>
      </c>
      <c r="X77">
        <f t="shared" si="5"/>
        <v>225</v>
      </c>
      <c r="AA77" t="str">
        <f t="shared" si="6"/>
        <v>FAIL</v>
      </c>
    </row>
    <row r="78" spans="1:27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  <c r="W78">
        <f t="shared" si="4"/>
        <v>65.25</v>
      </c>
      <c r="X78">
        <f t="shared" si="5"/>
        <v>261</v>
      </c>
      <c r="AA78" t="str">
        <f t="shared" si="6"/>
        <v>FAIL</v>
      </c>
    </row>
    <row r="79" spans="1:27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  <c r="W79">
        <f t="shared" si="4"/>
        <v>60.25</v>
      </c>
      <c r="X79">
        <f t="shared" si="5"/>
        <v>241</v>
      </c>
      <c r="AA79" t="str">
        <f t="shared" si="6"/>
        <v>FAIL</v>
      </c>
    </row>
    <row r="80" spans="1:27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  <c r="W80">
        <f t="shared" si="4"/>
        <v>64.5</v>
      </c>
      <c r="X80">
        <f t="shared" si="5"/>
        <v>258</v>
      </c>
      <c r="AA80" t="str">
        <f t="shared" si="6"/>
        <v>PASS</v>
      </c>
    </row>
    <row r="81" spans="1:27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  <c r="W81">
        <f t="shared" si="4"/>
        <v>64</v>
      </c>
      <c r="X81">
        <f t="shared" si="5"/>
        <v>256</v>
      </c>
      <c r="AA81" t="str">
        <f t="shared" si="6"/>
        <v>FAIL</v>
      </c>
    </row>
    <row r="82" spans="1:27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  <c r="W82">
        <f t="shared" si="4"/>
        <v>66</v>
      </c>
      <c r="X82">
        <f t="shared" si="5"/>
        <v>264</v>
      </c>
      <c r="AA82" t="str">
        <f t="shared" si="6"/>
        <v>PASS</v>
      </c>
    </row>
    <row r="83" spans="1:27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  <c r="W83">
        <f t="shared" si="4"/>
        <v>59.75</v>
      </c>
      <c r="X83">
        <f t="shared" si="5"/>
        <v>239</v>
      </c>
      <c r="AA83" t="str">
        <f t="shared" si="6"/>
        <v>PASS</v>
      </c>
    </row>
    <row r="84" spans="1:27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  <c r="W84">
        <f t="shared" si="4"/>
        <v>52.25</v>
      </c>
      <c r="X84">
        <f t="shared" si="5"/>
        <v>209</v>
      </c>
      <c r="AA84" t="str">
        <f t="shared" si="6"/>
        <v>PASS</v>
      </c>
    </row>
    <row r="85" spans="1:27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  <c r="W85">
        <f t="shared" si="4"/>
        <v>39.75</v>
      </c>
      <c r="X85">
        <f t="shared" si="5"/>
        <v>159</v>
      </c>
      <c r="AA85" t="str">
        <f t="shared" si="6"/>
        <v>FAIL</v>
      </c>
    </row>
    <row r="86" spans="1:27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  <c r="W86">
        <f t="shared" si="4"/>
        <v>73.25</v>
      </c>
      <c r="X86">
        <f t="shared" si="5"/>
        <v>293</v>
      </c>
      <c r="AA86" t="str">
        <f t="shared" si="6"/>
        <v>PASS</v>
      </c>
    </row>
    <row r="87" spans="1:27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  <c r="W87">
        <f t="shared" si="4"/>
        <v>37.75</v>
      </c>
      <c r="X87">
        <f t="shared" si="5"/>
        <v>151</v>
      </c>
      <c r="AA87" t="str">
        <f t="shared" si="6"/>
        <v>FAIL</v>
      </c>
    </row>
    <row r="88" spans="1:27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  <c r="W88">
        <f t="shared" si="4"/>
        <v>54.75</v>
      </c>
      <c r="X88">
        <f t="shared" si="5"/>
        <v>219</v>
      </c>
      <c r="AA88" t="str">
        <f t="shared" si="6"/>
        <v>PASS</v>
      </c>
    </row>
    <row r="89" spans="1:27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  <c r="W89">
        <f t="shared" si="4"/>
        <v>31</v>
      </c>
      <c r="X89">
        <f t="shared" si="5"/>
        <v>124</v>
      </c>
      <c r="AA89" t="str">
        <f t="shared" si="6"/>
        <v>FAIL</v>
      </c>
    </row>
    <row r="90" spans="1:27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  <c r="W90">
        <f t="shared" si="4"/>
        <v>71.5</v>
      </c>
      <c r="X90">
        <f t="shared" si="5"/>
        <v>286</v>
      </c>
      <c r="AA90" t="str">
        <f t="shared" si="6"/>
        <v>PASS</v>
      </c>
    </row>
    <row r="91" spans="1:27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  <c r="W91">
        <f t="shared" si="4"/>
        <v>64.25</v>
      </c>
      <c r="X91">
        <f t="shared" si="5"/>
        <v>257</v>
      </c>
      <c r="AA91" t="str">
        <f t="shared" si="6"/>
        <v>PASS</v>
      </c>
    </row>
    <row r="92" spans="1:27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  <c r="W92">
        <f t="shared" si="4"/>
        <v>34.75</v>
      </c>
      <c r="X92">
        <f t="shared" si="5"/>
        <v>139</v>
      </c>
      <c r="AA92" t="str">
        <f t="shared" si="6"/>
        <v>FAIL</v>
      </c>
    </row>
    <row r="93" spans="1:27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  <c r="W93">
        <f t="shared" si="4"/>
        <v>85</v>
      </c>
      <c r="X93">
        <f t="shared" si="5"/>
        <v>340</v>
      </c>
      <c r="AA93" t="str">
        <f t="shared" si="6"/>
        <v>FAIL</v>
      </c>
    </row>
    <row r="94" spans="1:27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  <c r="W94">
        <f t="shared" si="4"/>
        <v>19.25</v>
      </c>
      <c r="X94">
        <f t="shared" si="5"/>
        <v>77</v>
      </c>
      <c r="AA94" t="str">
        <f t="shared" si="6"/>
        <v>FAIL</v>
      </c>
    </row>
    <row r="95" spans="1:27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  <c r="W95">
        <f t="shared" si="4"/>
        <v>46.25</v>
      </c>
      <c r="X95">
        <f t="shared" si="5"/>
        <v>185</v>
      </c>
      <c r="AA95" t="str">
        <f t="shared" si="6"/>
        <v>FAIL</v>
      </c>
    </row>
    <row r="96" spans="1:27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  <c r="W96">
        <f t="shared" si="4"/>
        <v>50.75</v>
      </c>
      <c r="X96">
        <f t="shared" si="5"/>
        <v>203</v>
      </c>
      <c r="AA96" t="str">
        <f t="shared" si="6"/>
        <v>FAIL</v>
      </c>
    </row>
    <row r="97" spans="1:27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  <c r="W97">
        <f t="shared" si="4"/>
        <v>54.75</v>
      </c>
      <c r="X97">
        <f t="shared" si="5"/>
        <v>219</v>
      </c>
      <c r="AA97" t="str">
        <f t="shared" si="6"/>
        <v>PASS</v>
      </c>
    </row>
    <row r="98" spans="1:27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  <c r="W98">
        <f t="shared" si="4"/>
        <v>89.75</v>
      </c>
      <c r="X98">
        <f t="shared" si="5"/>
        <v>359</v>
      </c>
      <c r="AA98" t="str">
        <f t="shared" si="6"/>
        <v>PASS</v>
      </c>
    </row>
    <row r="99" spans="1:27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  <c r="W99">
        <f t="shared" si="4"/>
        <v>62</v>
      </c>
      <c r="X99">
        <f t="shared" si="5"/>
        <v>248</v>
      </c>
      <c r="AA99" t="str">
        <f t="shared" si="6"/>
        <v>PASS</v>
      </c>
    </row>
    <row r="100" spans="1:27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  <c r="W100">
        <f t="shared" si="4"/>
        <v>74</v>
      </c>
      <c r="X100">
        <f t="shared" si="5"/>
        <v>296</v>
      </c>
      <c r="AA100" t="str">
        <f t="shared" si="6"/>
        <v>FAIL</v>
      </c>
    </row>
    <row r="101" spans="1:27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  <c r="W101">
        <f t="shared" si="4"/>
        <v>61.25</v>
      </c>
      <c r="X101">
        <f t="shared" si="5"/>
        <v>245</v>
      </c>
      <c r="AA101" t="str">
        <f t="shared" si="6"/>
        <v>FAIL</v>
      </c>
    </row>
    <row r="102" spans="1:27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  <c r="W102">
        <f t="shared" si="4"/>
        <v>34.5</v>
      </c>
      <c r="X102">
        <f t="shared" si="5"/>
        <v>138</v>
      </c>
      <c r="AA102" t="str">
        <f t="shared" si="6"/>
        <v>FAIL</v>
      </c>
    </row>
    <row r="103" spans="1:27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  <c r="W103">
        <f t="shared" si="4"/>
        <v>41.75</v>
      </c>
      <c r="X103">
        <f t="shared" si="5"/>
        <v>167</v>
      </c>
      <c r="AA103" t="str">
        <f t="shared" si="6"/>
        <v>FAIL</v>
      </c>
    </row>
    <row r="104" spans="1:27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  <c r="W104">
        <f t="shared" si="4"/>
        <v>32.5</v>
      </c>
      <c r="X104">
        <f t="shared" si="5"/>
        <v>130</v>
      </c>
      <c r="AA104" t="str">
        <f t="shared" si="6"/>
        <v>FAIL</v>
      </c>
    </row>
    <row r="105" spans="1:27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  <c r="W105">
        <f t="shared" si="4"/>
        <v>62.5</v>
      </c>
      <c r="X105">
        <f t="shared" si="5"/>
        <v>250</v>
      </c>
      <c r="AA105" t="str">
        <f t="shared" si="6"/>
        <v>PASS</v>
      </c>
    </row>
    <row r="106" spans="1:27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  <c r="W106">
        <f t="shared" si="4"/>
        <v>59.5</v>
      </c>
      <c r="X106">
        <f t="shared" si="5"/>
        <v>238</v>
      </c>
      <c r="AA106" t="str">
        <f t="shared" si="6"/>
        <v>FAIL</v>
      </c>
    </row>
    <row r="107" spans="1:27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  <c r="W107">
        <f t="shared" si="4"/>
        <v>40</v>
      </c>
      <c r="X107">
        <f t="shared" si="5"/>
        <v>160</v>
      </c>
      <c r="AA107" t="str">
        <f t="shared" si="6"/>
        <v>PASS</v>
      </c>
    </row>
    <row r="108" spans="1:27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  <c r="W108">
        <f t="shared" si="4"/>
        <v>67</v>
      </c>
      <c r="X108">
        <f t="shared" si="5"/>
        <v>268</v>
      </c>
      <c r="AA108" t="str">
        <f t="shared" si="6"/>
        <v>PASS</v>
      </c>
    </row>
    <row r="109" spans="1:27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  <c r="W109">
        <f t="shared" si="4"/>
        <v>31.25</v>
      </c>
      <c r="X109">
        <f t="shared" si="5"/>
        <v>125</v>
      </c>
      <c r="AA109" t="str">
        <f t="shared" si="6"/>
        <v>FAIL</v>
      </c>
    </row>
    <row r="110" spans="1:27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  <c r="W110">
        <f t="shared" si="4"/>
        <v>80.25</v>
      </c>
      <c r="X110">
        <f t="shared" si="5"/>
        <v>321</v>
      </c>
      <c r="AA110" t="str">
        <f t="shared" si="6"/>
        <v>PASS</v>
      </c>
    </row>
    <row r="111" spans="1:27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  <c r="W111">
        <f t="shared" si="4"/>
        <v>59.75</v>
      </c>
      <c r="X111">
        <f t="shared" si="5"/>
        <v>239</v>
      </c>
      <c r="AA111" t="str">
        <f t="shared" si="6"/>
        <v>FAIL</v>
      </c>
    </row>
    <row r="112" spans="1:27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  <c r="W112">
        <f t="shared" si="4"/>
        <v>75.25</v>
      </c>
      <c r="X112">
        <f t="shared" si="5"/>
        <v>301</v>
      </c>
      <c r="AA112" t="str">
        <f t="shared" si="6"/>
        <v>PASS</v>
      </c>
    </row>
    <row r="113" spans="1:27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  <c r="W113">
        <f t="shared" si="4"/>
        <v>67.25</v>
      </c>
      <c r="X113">
        <f t="shared" si="5"/>
        <v>269</v>
      </c>
      <c r="AA113" t="str">
        <f t="shared" si="6"/>
        <v>PASS</v>
      </c>
    </row>
    <row r="114" spans="1:27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  <c r="W114">
        <f t="shared" si="4"/>
        <v>85.5</v>
      </c>
      <c r="X114">
        <f t="shared" si="5"/>
        <v>342</v>
      </c>
      <c r="AA114" t="str">
        <f t="shared" si="6"/>
        <v>FAIL</v>
      </c>
    </row>
    <row r="115" spans="1:27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  <c r="W115">
        <f t="shared" si="4"/>
        <v>70</v>
      </c>
      <c r="X115">
        <f t="shared" si="5"/>
        <v>280</v>
      </c>
      <c r="AA115" t="str">
        <f t="shared" si="6"/>
        <v>PASS</v>
      </c>
    </row>
    <row r="116" spans="1:27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  <c r="W116">
        <f t="shared" si="4"/>
        <v>54</v>
      </c>
      <c r="X116">
        <f t="shared" si="5"/>
        <v>216</v>
      </c>
      <c r="AA116" t="str">
        <f t="shared" si="6"/>
        <v>FAIL</v>
      </c>
    </row>
    <row r="117" spans="1:27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  <c r="W117">
        <f t="shared" si="4"/>
        <v>43</v>
      </c>
      <c r="X117">
        <f t="shared" si="5"/>
        <v>172</v>
      </c>
      <c r="AA117" t="str">
        <f t="shared" si="6"/>
        <v>FAIL</v>
      </c>
    </row>
    <row r="118" spans="1:27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  <c r="W118">
        <f t="shared" si="4"/>
        <v>56</v>
      </c>
      <c r="X118">
        <f t="shared" si="5"/>
        <v>224</v>
      </c>
      <c r="AA118" t="str">
        <f t="shared" si="6"/>
        <v>PASS</v>
      </c>
    </row>
    <row r="119" spans="1:27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  <c r="W119">
        <f t="shared" si="4"/>
        <v>83</v>
      </c>
      <c r="X119">
        <f t="shared" si="5"/>
        <v>332</v>
      </c>
      <c r="AA119" t="str">
        <f t="shared" si="6"/>
        <v>PASS</v>
      </c>
    </row>
    <row r="120" spans="1:27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  <c r="W120">
        <f t="shared" si="4"/>
        <v>70.25</v>
      </c>
      <c r="X120">
        <f t="shared" si="5"/>
        <v>281</v>
      </c>
      <c r="AA120" t="str">
        <f t="shared" si="6"/>
        <v>PASS</v>
      </c>
    </row>
    <row r="121" spans="1:27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  <c r="W121">
        <f t="shared" si="4"/>
        <v>70.25</v>
      </c>
      <c r="X121">
        <f t="shared" si="5"/>
        <v>281</v>
      </c>
      <c r="AA121" t="str">
        <f t="shared" si="6"/>
        <v>PASS</v>
      </c>
    </row>
    <row r="122" spans="1:27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  <c r="W122">
        <f t="shared" si="4"/>
        <v>28</v>
      </c>
      <c r="X122">
        <f t="shared" si="5"/>
        <v>112</v>
      </c>
      <c r="AA122" t="str">
        <f t="shared" si="6"/>
        <v>FAIL</v>
      </c>
    </row>
    <row r="123" spans="1:27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  <c r="W123">
        <f t="shared" si="4"/>
        <v>65.75</v>
      </c>
      <c r="X123">
        <f t="shared" si="5"/>
        <v>263</v>
      </c>
      <c r="AA123" t="str">
        <f t="shared" si="6"/>
        <v>PASS</v>
      </c>
    </row>
    <row r="124" spans="1:27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  <c r="W124">
        <f t="shared" si="4"/>
        <v>74.25</v>
      </c>
      <c r="X124">
        <f t="shared" si="5"/>
        <v>297</v>
      </c>
      <c r="AA124" t="str">
        <f t="shared" si="6"/>
        <v>FAIL</v>
      </c>
    </row>
    <row r="125" spans="1:27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  <c r="W125">
        <f t="shared" si="4"/>
        <v>75</v>
      </c>
      <c r="X125">
        <f t="shared" si="5"/>
        <v>300</v>
      </c>
      <c r="AA125" t="str">
        <f t="shared" si="6"/>
        <v>PASS</v>
      </c>
    </row>
    <row r="126" spans="1:27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  <c r="W126">
        <f t="shared" si="4"/>
        <v>92</v>
      </c>
      <c r="X126">
        <f t="shared" si="5"/>
        <v>368</v>
      </c>
      <c r="AA126" t="str">
        <f t="shared" si="6"/>
        <v>FAIL</v>
      </c>
    </row>
    <row r="127" spans="1:27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  <c r="W127">
        <f t="shared" si="4"/>
        <v>89.25</v>
      </c>
      <c r="X127">
        <f t="shared" si="5"/>
        <v>357</v>
      </c>
      <c r="AA127" t="str">
        <f t="shared" si="6"/>
        <v>PASS</v>
      </c>
    </row>
    <row r="128" spans="1:27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  <c r="W128">
        <f t="shared" si="4"/>
        <v>93.75</v>
      </c>
      <c r="X128">
        <f t="shared" si="5"/>
        <v>375</v>
      </c>
      <c r="AA128" t="str">
        <f t="shared" si="6"/>
        <v>PASS</v>
      </c>
    </row>
    <row r="129" spans="1:27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  <c r="W129">
        <f t="shared" si="4"/>
        <v>61</v>
      </c>
      <c r="X129">
        <f t="shared" si="5"/>
        <v>244</v>
      </c>
      <c r="AA129" t="str">
        <f t="shared" si="6"/>
        <v>PASS</v>
      </c>
    </row>
    <row r="130" spans="1:27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  <c r="W130">
        <f t="shared" si="4"/>
        <v>51</v>
      </c>
      <c r="X130">
        <f t="shared" si="5"/>
        <v>204</v>
      </c>
      <c r="AA130" t="str">
        <f t="shared" si="6"/>
        <v>PASS</v>
      </c>
    </row>
    <row r="131" spans="1:27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  <c r="W131">
        <f t="shared" ref="W131:W194" si="7">ROUND(X131/400*100,2)</f>
        <v>47.75</v>
      </c>
      <c r="X131">
        <f t="shared" ref="X131:X194" si="8">G131+H131+I131+J131</f>
        <v>191</v>
      </c>
      <c r="AA131" t="str">
        <f t="shared" ref="AA131:AA194" si="9">IF(AND(G131&gt;=35,H131&gt;=35,I131&gt;=35,J131&gt;=35,K131&gt;=75),"PASS","FAIL")</f>
        <v>FAIL</v>
      </c>
    </row>
    <row r="132" spans="1:27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  <c r="W132">
        <f t="shared" si="7"/>
        <v>23.25</v>
      </c>
      <c r="X132">
        <f t="shared" si="8"/>
        <v>93</v>
      </c>
      <c r="AA132" t="str">
        <f t="shared" si="9"/>
        <v>FAIL</v>
      </c>
    </row>
    <row r="133" spans="1:27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  <c r="W133">
        <f t="shared" si="7"/>
        <v>47.5</v>
      </c>
      <c r="X133">
        <f t="shared" si="8"/>
        <v>190</v>
      </c>
      <c r="AA133" t="str">
        <f t="shared" si="9"/>
        <v>PASS</v>
      </c>
    </row>
    <row r="134" spans="1:27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  <c r="W134">
        <f t="shared" si="7"/>
        <v>47.5</v>
      </c>
      <c r="X134">
        <f t="shared" si="8"/>
        <v>190</v>
      </c>
      <c r="AA134" t="str">
        <f t="shared" si="9"/>
        <v>FAIL</v>
      </c>
    </row>
    <row r="135" spans="1:27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  <c r="W135">
        <f t="shared" si="7"/>
        <v>67.5</v>
      </c>
      <c r="X135">
        <f t="shared" si="8"/>
        <v>270</v>
      </c>
      <c r="AA135" t="str">
        <f t="shared" si="9"/>
        <v>FAIL</v>
      </c>
    </row>
    <row r="136" spans="1:27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  <c r="W136">
        <f t="shared" si="7"/>
        <v>46.5</v>
      </c>
      <c r="X136">
        <f t="shared" si="8"/>
        <v>186</v>
      </c>
      <c r="AA136" t="str">
        <f t="shared" si="9"/>
        <v>FAIL</v>
      </c>
    </row>
    <row r="137" spans="1:27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  <c r="W137">
        <f t="shared" si="7"/>
        <v>58.75</v>
      </c>
      <c r="X137">
        <f t="shared" si="8"/>
        <v>235</v>
      </c>
      <c r="AA137" t="str">
        <f t="shared" si="9"/>
        <v>PASS</v>
      </c>
    </row>
    <row r="138" spans="1:27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  <c r="W138">
        <f t="shared" si="7"/>
        <v>67</v>
      </c>
      <c r="X138">
        <f t="shared" si="8"/>
        <v>268</v>
      </c>
      <c r="AA138" t="str">
        <f t="shared" si="9"/>
        <v>PASS</v>
      </c>
    </row>
    <row r="139" spans="1:27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  <c r="W139">
        <f t="shared" si="7"/>
        <v>55.25</v>
      </c>
      <c r="X139">
        <f t="shared" si="8"/>
        <v>221</v>
      </c>
      <c r="AA139" t="str">
        <f t="shared" si="9"/>
        <v>PASS</v>
      </c>
    </row>
    <row r="140" spans="1:27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  <c r="W140">
        <f t="shared" si="7"/>
        <v>63.25</v>
      </c>
      <c r="X140">
        <f t="shared" si="8"/>
        <v>253</v>
      </c>
      <c r="AA140" t="str">
        <f t="shared" si="9"/>
        <v>PASS</v>
      </c>
    </row>
    <row r="141" spans="1:27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  <c r="W141">
        <f t="shared" si="7"/>
        <v>73.25</v>
      </c>
      <c r="X141">
        <f t="shared" si="8"/>
        <v>293</v>
      </c>
      <c r="AA141" t="str">
        <f t="shared" si="9"/>
        <v>PASS</v>
      </c>
    </row>
    <row r="142" spans="1:27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  <c r="W142">
        <f t="shared" si="7"/>
        <v>67.75</v>
      </c>
      <c r="X142">
        <f t="shared" si="8"/>
        <v>271</v>
      </c>
      <c r="AA142" t="str">
        <f t="shared" si="9"/>
        <v>PASS</v>
      </c>
    </row>
    <row r="143" spans="1:27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  <c r="W143">
        <f t="shared" si="7"/>
        <v>53.25</v>
      </c>
      <c r="X143">
        <f t="shared" si="8"/>
        <v>213</v>
      </c>
      <c r="AA143" t="str">
        <f t="shared" si="9"/>
        <v>PASS</v>
      </c>
    </row>
    <row r="144" spans="1:27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  <c r="W144">
        <f t="shared" si="7"/>
        <v>76</v>
      </c>
      <c r="X144">
        <f t="shared" si="8"/>
        <v>304</v>
      </c>
      <c r="AA144" t="str">
        <f t="shared" si="9"/>
        <v>PASS</v>
      </c>
    </row>
    <row r="145" spans="1:27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  <c r="W145">
        <f t="shared" si="7"/>
        <v>86.5</v>
      </c>
      <c r="X145">
        <f t="shared" si="8"/>
        <v>346</v>
      </c>
      <c r="AA145" t="str">
        <f t="shared" si="9"/>
        <v>FAIL</v>
      </c>
    </row>
    <row r="146" spans="1:27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  <c r="W146">
        <f t="shared" si="7"/>
        <v>62.5</v>
      </c>
      <c r="X146">
        <f t="shared" si="8"/>
        <v>250</v>
      </c>
      <c r="AA146" t="str">
        <f t="shared" si="9"/>
        <v>PASS</v>
      </c>
    </row>
    <row r="147" spans="1:27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  <c r="W147">
        <f t="shared" si="7"/>
        <v>79.5</v>
      </c>
      <c r="X147">
        <f t="shared" si="8"/>
        <v>318</v>
      </c>
      <c r="AA147" t="str">
        <f t="shared" si="9"/>
        <v>PASS</v>
      </c>
    </row>
    <row r="148" spans="1:27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  <c r="W148">
        <f t="shared" si="7"/>
        <v>46.5</v>
      </c>
      <c r="X148">
        <f t="shared" si="8"/>
        <v>186</v>
      </c>
      <c r="AA148" t="str">
        <f t="shared" si="9"/>
        <v>PASS</v>
      </c>
    </row>
    <row r="149" spans="1:27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  <c r="W149">
        <f t="shared" si="7"/>
        <v>63.75</v>
      </c>
      <c r="X149">
        <f t="shared" si="8"/>
        <v>255</v>
      </c>
      <c r="AA149" t="str">
        <f t="shared" si="9"/>
        <v>FAIL</v>
      </c>
    </row>
    <row r="150" spans="1:27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  <c r="W150">
        <f t="shared" si="7"/>
        <v>49.25</v>
      </c>
      <c r="X150">
        <f t="shared" si="8"/>
        <v>197</v>
      </c>
      <c r="AA150" t="str">
        <f t="shared" si="9"/>
        <v>FAIL</v>
      </c>
    </row>
    <row r="151" spans="1:27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  <c r="W151">
        <f t="shared" si="7"/>
        <v>58.25</v>
      </c>
      <c r="X151">
        <f t="shared" si="8"/>
        <v>233</v>
      </c>
      <c r="AA151" t="str">
        <f t="shared" si="9"/>
        <v>FAIL</v>
      </c>
    </row>
    <row r="152" spans="1:27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  <c r="W152">
        <f t="shared" si="7"/>
        <v>67.25</v>
      </c>
      <c r="X152">
        <f t="shared" si="8"/>
        <v>269</v>
      </c>
      <c r="AA152" t="str">
        <f t="shared" si="9"/>
        <v>PASS</v>
      </c>
    </row>
    <row r="153" spans="1:27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  <c r="W153">
        <f t="shared" si="7"/>
        <v>75</v>
      </c>
      <c r="X153">
        <f t="shared" si="8"/>
        <v>300</v>
      </c>
      <c r="AA153" t="str">
        <f t="shared" si="9"/>
        <v>FAIL</v>
      </c>
    </row>
    <row r="154" spans="1:27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  <c r="W154">
        <f t="shared" si="7"/>
        <v>49.25</v>
      </c>
      <c r="X154">
        <f t="shared" si="8"/>
        <v>197</v>
      </c>
      <c r="AA154" t="str">
        <f t="shared" si="9"/>
        <v>PASS</v>
      </c>
    </row>
    <row r="155" spans="1:27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  <c r="W155">
        <f t="shared" si="7"/>
        <v>63.25</v>
      </c>
      <c r="X155">
        <f t="shared" si="8"/>
        <v>253</v>
      </c>
      <c r="AA155" t="str">
        <f t="shared" si="9"/>
        <v>PASS</v>
      </c>
    </row>
    <row r="156" spans="1:27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  <c r="W156">
        <f t="shared" si="7"/>
        <v>29.5</v>
      </c>
      <c r="X156">
        <f t="shared" si="8"/>
        <v>118</v>
      </c>
      <c r="AA156" t="str">
        <f t="shared" si="9"/>
        <v>FAIL</v>
      </c>
    </row>
    <row r="157" spans="1:27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  <c r="W157">
        <f t="shared" si="7"/>
        <v>39.5</v>
      </c>
      <c r="X157">
        <f t="shared" si="8"/>
        <v>158</v>
      </c>
      <c r="AA157" t="str">
        <f t="shared" si="9"/>
        <v>FAIL</v>
      </c>
    </row>
    <row r="158" spans="1:27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  <c r="W158">
        <f t="shared" si="7"/>
        <v>83.75</v>
      </c>
      <c r="X158">
        <f t="shared" si="8"/>
        <v>335</v>
      </c>
      <c r="AA158" t="str">
        <f t="shared" si="9"/>
        <v>PASS</v>
      </c>
    </row>
    <row r="159" spans="1:27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  <c r="W159">
        <f t="shared" si="7"/>
        <v>56.5</v>
      </c>
      <c r="X159">
        <f t="shared" si="8"/>
        <v>226</v>
      </c>
      <c r="AA159" t="str">
        <f t="shared" si="9"/>
        <v>FAIL</v>
      </c>
    </row>
    <row r="160" spans="1:27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  <c r="W160">
        <f t="shared" si="7"/>
        <v>59.25</v>
      </c>
      <c r="X160">
        <f t="shared" si="8"/>
        <v>237</v>
      </c>
      <c r="AA160" t="str">
        <f t="shared" si="9"/>
        <v>PASS</v>
      </c>
    </row>
    <row r="161" spans="1:27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  <c r="W161">
        <f t="shared" si="7"/>
        <v>62.25</v>
      </c>
      <c r="X161">
        <f t="shared" si="8"/>
        <v>249</v>
      </c>
      <c r="AA161" t="str">
        <f t="shared" si="9"/>
        <v>FAIL</v>
      </c>
    </row>
    <row r="162" spans="1:27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  <c r="W162">
        <f t="shared" si="7"/>
        <v>74.5</v>
      </c>
      <c r="X162">
        <f t="shared" si="8"/>
        <v>298</v>
      </c>
      <c r="AA162" t="str">
        <f t="shared" si="9"/>
        <v>PASS</v>
      </c>
    </row>
    <row r="163" spans="1:27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  <c r="W163">
        <f t="shared" si="7"/>
        <v>65.25</v>
      </c>
      <c r="X163">
        <f t="shared" si="8"/>
        <v>261</v>
      </c>
      <c r="AA163" t="str">
        <f t="shared" si="9"/>
        <v>PASS</v>
      </c>
    </row>
    <row r="164" spans="1:27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  <c r="W164">
        <f t="shared" si="7"/>
        <v>39.5</v>
      </c>
      <c r="X164">
        <f t="shared" si="8"/>
        <v>158</v>
      </c>
      <c r="AA164" t="str">
        <f t="shared" si="9"/>
        <v>FAIL</v>
      </c>
    </row>
    <row r="165" spans="1:27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  <c r="W165">
        <f t="shared" si="7"/>
        <v>55.25</v>
      </c>
      <c r="X165">
        <f t="shared" si="8"/>
        <v>221</v>
      </c>
      <c r="AA165" t="str">
        <f t="shared" si="9"/>
        <v>FAIL</v>
      </c>
    </row>
    <row r="166" spans="1:27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  <c r="W166">
        <f t="shared" si="7"/>
        <v>55.5</v>
      </c>
      <c r="X166">
        <f t="shared" si="8"/>
        <v>222</v>
      </c>
      <c r="AA166" t="str">
        <f t="shared" si="9"/>
        <v>PASS</v>
      </c>
    </row>
    <row r="167" spans="1:27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  <c r="W167">
        <f t="shared" si="7"/>
        <v>34.5</v>
      </c>
      <c r="X167">
        <f t="shared" si="8"/>
        <v>138</v>
      </c>
      <c r="AA167" t="str">
        <f t="shared" si="9"/>
        <v>FAIL</v>
      </c>
    </row>
    <row r="168" spans="1:27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  <c r="W168">
        <f t="shared" si="7"/>
        <v>74.75</v>
      </c>
      <c r="X168">
        <f t="shared" si="8"/>
        <v>299</v>
      </c>
      <c r="AA168" t="str">
        <f t="shared" si="9"/>
        <v>PASS</v>
      </c>
    </row>
    <row r="169" spans="1:27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  <c r="W169">
        <f t="shared" si="7"/>
        <v>33.25</v>
      </c>
      <c r="X169">
        <f t="shared" si="8"/>
        <v>133</v>
      </c>
      <c r="AA169" t="str">
        <f t="shared" si="9"/>
        <v>FAIL</v>
      </c>
    </row>
    <row r="170" spans="1:27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  <c r="W170">
        <f t="shared" si="7"/>
        <v>71</v>
      </c>
      <c r="X170">
        <f t="shared" si="8"/>
        <v>284</v>
      </c>
      <c r="AA170" t="str">
        <f t="shared" si="9"/>
        <v>PASS</v>
      </c>
    </row>
    <row r="171" spans="1:27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  <c r="W171">
        <f t="shared" si="7"/>
        <v>68.75</v>
      </c>
      <c r="X171">
        <f t="shared" si="8"/>
        <v>275</v>
      </c>
      <c r="AA171" t="str">
        <f t="shared" si="9"/>
        <v>PASS</v>
      </c>
    </row>
    <row r="172" spans="1:27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  <c r="W172">
        <f t="shared" si="7"/>
        <v>62</v>
      </c>
      <c r="X172">
        <f t="shared" si="8"/>
        <v>248</v>
      </c>
      <c r="AA172" t="str">
        <f t="shared" si="9"/>
        <v>PASS</v>
      </c>
    </row>
    <row r="173" spans="1:27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  <c r="W173">
        <f t="shared" si="7"/>
        <v>33</v>
      </c>
      <c r="X173">
        <f t="shared" si="8"/>
        <v>132</v>
      </c>
      <c r="AA173" t="str">
        <f t="shared" si="9"/>
        <v>FAIL</v>
      </c>
    </row>
    <row r="174" spans="1:27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  <c r="W174">
        <f t="shared" si="7"/>
        <v>65.5</v>
      </c>
      <c r="X174">
        <f t="shared" si="8"/>
        <v>262</v>
      </c>
      <c r="AA174" t="str">
        <f t="shared" si="9"/>
        <v>PASS</v>
      </c>
    </row>
    <row r="175" spans="1:27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  <c r="W175">
        <f t="shared" si="7"/>
        <v>75.5</v>
      </c>
      <c r="X175">
        <f t="shared" si="8"/>
        <v>302</v>
      </c>
      <c r="AA175" t="str">
        <f t="shared" si="9"/>
        <v>PASS</v>
      </c>
    </row>
    <row r="176" spans="1:27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  <c r="W176">
        <f t="shared" si="7"/>
        <v>85.25</v>
      </c>
      <c r="X176">
        <f t="shared" si="8"/>
        <v>341</v>
      </c>
      <c r="AA176" t="str">
        <f t="shared" si="9"/>
        <v>PASS</v>
      </c>
    </row>
    <row r="177" spans="1:27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  <c r="W177">
        <f t="shared" si="7"/>
        <v>63</v>
      </c>
      <c r="X177">
        <f t="shared" si="8"/>
        <v>252</v>
      </c>
      <c r="AA177" t="str">
        <f t="shared" si="9"/>
        <v>PASS</v>
      </c>
    </row>
    <row r="178" spans="1:27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  <c r="W178">
        <f t="shared" si="7"/>
        <v>53.5</v>
      </c>
      <c r="X178">
        <f t="shared" si="8"/>
        <v>214</v>
      </c>
      <c r="AA178" t="str">
        <f t="shared" si="9"/>
        <v>FAIL</v>
      </c>
    </row>
    <row r="179" spans="1:27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  <c r="W179">
        <f t="shared" si="7"/>
        <v>51.5</v>
      </c>
      <c r="X179">
        <f t="shared" si="8"/>
        <v>206</v>
      </c>
      <c r="AA179" t="str">
        <f t="shared" si="9"/>
        <v>PASS</v>
      </c>
    </row>
    <row r="180" spans="1:27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  <c r="W180">
        <f t="shared" si="7"/>
        <v>57.5</v>
      </c>
      <c r="X180">
        <f t="shared" si="8"/>
        <v>230</v>
      </c>
      <c r="AA180" t="str">
        <f t="shared" si="9"/>
        <v>PASS</v>
      </c>
    </row>
    <row r="181" spans="1:27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  <c r="W181">
        <f t="shared" si="7"/>
        <v>72.75</v>
      </c>
      <c r="X181">
        <f t="shared" si="8"/>
        <v>291</v>
      </c>
      <c r="AA181" t="str">
        <f t="shared" si="9"/>
        <v>PASS</v>
      </c>
    </row>
    <row r="182" spans="1:27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  <c r="W182">
        <f t="shared" si="7"/>
        <v>35.5</v>
      </c>
      <c r="X182">
        <f t="shared" si="8"/>
        <v>142</v>
      </c>
      <c r="AA182" t="str">
        <f t="shared" si="9"/>
        <v>FAIL</v>
      </c>
    </row>
    <row r="183" spans="1:27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  <c r="W183">
        <f t="shared" si="7"/>
        <v>62.25</v>
      </c>
      <c r="X183">
        <f t="shared" si="8"/>
        <v>249</v>
      </c>
      <c r="AA183" t="str">
        <f t="shared" si="9"/>
        <v>PASS</v>
      </c>
    </row>
    <row r="184" spans="1:27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  <c r="W184">
        <f t="shared" si="7"/>
        <v>49.75</v>
      </c>
      <c r="X184">
        <f t="shared" si="8"/>
        <v>199</v>
      </c>
      <c r="AA184" t="str">
        <f t="shared" si="9"/>
        <v>FAIL</v>
      </c>
    </row>
    <row r="185" spans="1:27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  <c r="W185">
        <f t="shared" si="7"/>
        <v>43.75</v>
      </c>
      <c r="X185">
        <f t="shared" si="8"/>
        <v>175</v>
      </c>
      <c r="AA185" t="str">
        <f t="shared" si="9"/>
        <v>FAIL</v>
      </c>
    </row>
    <row r="186" spans="1:27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  <c r="W186">
        <f t="shared" si="7"/>
        <v>48.5</v>
      </c>
      <c r="X186">
        <f t="shared" si="8"/>
        <v>194</v>
      </c>
      <c r="AA186" t="str">
        <f t="shared" si="9"/>
        <v>FAIL</v>
      </c>
    </row>
    <row r="187" spans="1:27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  <c r="W187">
        <f t="shared" si="7"/>
        <v>24.5</v>
      </c>
      <c r="X187">
        <f t="shared" si="8"/>
        <v>98</v>
      </c>
      <c r="AA187" t="str">
        <f t="shared" si="9"/>
        <v>FAIL</v>
      </c>
    </row>
    <row r="188" spans="1:27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  <c r="W188">
        <f t="shared" si="7"/>
        <v>38.5</v>
      </c>
      <c r="X188">
        <f t="shared" si="8"/>
        <v>154</v>
      </c>
      <c r="AA188" t="str">
        <f t="shared" si="9"/>
        <v>FAIL</v>
      </c>
    </row>
    <row r="189" spans="1:27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  <c r="W189">
        <f t="shared" si="7"/>
        <v>61.5</v>
      </c>
      <c r="X189">
        <f t="shared" si="8"/>
        <v>246</v>
      </c>
      <c r="AA189" t="str">
        <f t="shared" si="9"/>
        <v>FAIL</v>
      </c>
    </row>
    <row r="190" spans="1:27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  <c r="W190">
        <f t="shared" si="7"/>
        <v>69.75</v>
      </c>
      <c r="X190">
        <f t="shared" si="8"/>
        <v>279</v>
      </c>
      <c r="AA190" t="str">
        <f t="shared" si="9"/>
        <v>PASS</v>
      </c>
    </row>
    <row r="191" spans="1:27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  <c r="W191">
        <f t="shared" si="7"/>
        <v>81.75</v>
      </c>
      <c r="X191">
        <f t="shared" si="8"/>
        <v>327</v>
      </c>
      <c r="AA191" t="str">
        <f t="shared" si="9"/>
        <v>PASS</v>
      </c>
    </row>
    <row r="192" spans="1:27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  <c r="W192">
        <f t="shared" si="7"/>
        <v>65.25</v>
      </c>
      <c r="X192">
        <f t="shared" si="8"/>
        <v>261</v>
      </c>
      <c r="AA192" t="str">
        <f t="shared" si="9"/>
        <v>PASS</v>
      </c>
    </row>
    <row r="193" spans="1:27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  <c r="W193">
        <f t="shared" si="7"/>
        <v>69</v>
      </c>
      <c r="X193">
        <f t="shared" si="8"/>
        <v>276</v>
      </c>
      <c r="AA193" t="str">
        <f t="shared" si="9"/>
        <v>PASS</v>
      </c>
    </row>
    <row r="194" spans="1:27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  <c r="W194">
        <f t="shared" si="7"/>
        <v>92.75</v>
      </c>
      <c r="X194">
        <f t="shared" si="8"/>
        <v>371</v>
      </c>
      <c r="AA194" t="str">
        <f t="shared" si="9"/>
        <v>PASS</v>
      </c>
    </row>
    <row r="195" spans="1:27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  <c r="W195">
        <f t="shared" ref="W195:W251" si="10">ROUND(X195/400*100,2)</f>
        <v>69.25</v>
      </c>
      <c r="X195">
        <f t="shared" ref="X195:X252" si="11">G195+H195+I195+J195</f>
        <v>277</v>
      </c>
      <c r="AA195" t="str">
        <f t="shared" ref="AA195:AA251" si="12">IF(AND(G195&gt;=35,H195&gt;=35,I195&gt;=35,J195&gt;=35,K195&gt;=75),"PASS","FAIL")</f>
        <v>FAIL</v>
      </c>
    </row>
    <row r="196" spans="1:27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  <c r="W196">
        <f t="shared" si="10"/>
        <v>58.5</v>
      </c>
      <c r="X196">
        <f t="shared" si="11"/>
        <v>234</v>
      </c>
      <c r="AA196" t="str">
        <f t="shared" si="12"/>
        <v>FAIL</v>
      </c>
    </row>
    <row r="197" spans="1:27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  <c r="W197">
        <f t="shared" si="10"/>
        <v>77.25</v>
      </c>
      <c r="X197">
        <f t="shared" si="11"/>
        <v>309</v>
      </c>
      <c r="AA197" t="str">
        <f t="shared" si="12"/>
        <v>PASS</v>
      </c>
    </row>
    <row r="198" spans="1:27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  <c r="W198">
        <f t="shared" si="10"/>
        <v>44.5</v>
      </c>
      <c r="X198">
        <f t="shared" si="11"/>
        <v>178</v>
      </c>
      <c r="AA198" t="str">
        <f t="shared" si="12"/>
        <v>FAIL</v>
      </c>
    </row>
    <row r="199" spans="1:27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  <c r="W199">
        <f t="shared" si="10"/>
        <v>47.5</v>
      </c>
      <c r="X199">
        <f t="shared" si="11"/>
        <v>190</v>
      </c>
      <c r="AA199" t="str">
        <f t="shared" si="12"/>
        <v>FAIL</v>
      </c>
    </row>
    <row r="200" spans="1:27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  <c r="W200">
        <f t="shared" si="10"/>
        <v>49.5</v>
      </c>
      <c r="X200">
        <f t="shared" si="11"/>
        <v>198</v>
      </c>
      <c r="AA200" t="str">
        <f t="shared" si="12"/>
        <v>PASS</v>
      </c>
    </row>
    <row r="201" spans="1:27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  <c r="W201">
        <f t="shared" si="10"/>
        <v>65.5</v>
      </c>
      <c r="X201">
        <f t="shared" si="11"/>
        <v>262</v>
      </c>
      <c r="AA201" t="str">
        <f t="shared" si="12"/>
        <v>PASS</v>
      </c>
    </row>
    <row r="202" spans="1:27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  <c r="W202">
        <f t="shared" si="10"/>
        <v>77.5</v>
      </c>
      <c r="X202">
        <f t="shared" si="11"/>
        <v>310</v>
      </c>
      <c r="AA202" t="str">
        <f t="shared" si="12"/>
        <v>PASS</v>
      </c>
    </row>
    <row r="203" spans="1:27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  <c r="W203">
        <f t="shared" si="10"/>
        <v>55.5</v>
      </c>
      <c r="X203">
        <f t="shared" si="11"/>
        <v>222</v>
      </c>
      <c r="AA203" t="str">
        <f t="shared" si="12"/>
        <v>FAIL</v>
      </c>
    </row>
    <row r="204" spans="1:27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  <c r="W204">
        <f t="shared" si="10"/>
        <v>58.25</v>
      </c>
      <c r="X204">
        <f t="shared" si="11"/>
        <v>233</v>
      </c>
      <c r="AA204" t="str">
        <f t="shared" si="12"/>
        <v>PASS</v>
      </c>
    </row>
    <row r="205" spans="1:27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  <c r="W205">
        <f t="shared" si="10"/>
        <v>63.25</v>
      </c>
      <c r="X205">
        <f t="shared" si="11"/>
        <v>253</v>
      </c>
      <c r="AA205" t="str">
        <f t="shared" si="12"/>
        <v>PASS</v>
      </c>
    </row>
    <row r="206" spans="1:27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  <c r="W206">
        <f t="shared" si="10"/>
        <v>66.25</v>
      </c>
      <c r="X206">
        <f t="shared" si="11"/>
        <v>265</v>
      </c>
      <c r="AA206" t="str">
        <f t="shared" si="12"/>
        <v>FAIL</v>
      </c>
    </row>
    <row r="207" spans="1:27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  <c r="W207">
        <f t="shared" si="10"/>
        <v>62</v>
      </c>
      <c r="X207">
        <f t="shared" si="11"/>
        <v>248</v>
      </c>
      <c r="AA207" t="str">
        <f t="shared" si="12"/>
        <v>FAIL</v>
      </c>
    </row>
    <row r="208" spans="1:27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  <c r="W208">
        <f t="shared" si="10"/>
        <v>69.5</v>
      </c>
      <c r="X208">
        <f t="shared" si="11"/>
        <v>278</v>
      </c>
      <c r="AA208" t="str">
        <f t="shared" si="12"/>
        <v>PASS</v>
      </c>
    </row>
    <row r="209" spans="1:27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  <c r="W209">
        <f t="shared" si="10"/>
        <v>31.5</v>
      </c>
      <c r="X209">
        <f t="shared" si="11"/>
        <v>126</v>
      </c>
      <c r="AA209" t="str">
        <f t="shared" si="12"/>
        <v>FAIL</v>
      </c>
    </row>
    <row r="210" spans="1:27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  <c r="W210">
        <f t="shared" si="10"/>
        <v>68</v>
      </c>
      <c r="X210">
        <f t="shared" si="11"/>
        <v>272</v>
      </c>
      <c r="AA210" t="str">
        <f t="shared" si="12"/>
        <v>FAIL</v>
      </c>
    </row>
    <row r="211" spans="1:27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  <c r="W211">
        <f t="shared" si="10"/>
        <v>75</v>
      </c>
      <c r="X211">
        <f t="shared" si="11"/>
        <v>300</v>
      </c>
      <c r="AA211" t="str">
        <f t="shared" si="12"/>
        <v>PASS</v>
      </c>
    </row>
    <row r="212" spans="1:27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  <c r="W212">
        <f t="shared" si="10"/>
        <v>54.75</v>
      </c>
      <c r="X212">
        <f t="shared" si="11"/>
        <v>219</v>
      </c>
      <c r="AA212" t="str">
        <f t="shared" si="12"/>
        <v>FAIL</v>
      </c>
    </row>
    <row r="213" spans="1:27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  <c r="W213">
        <f t="shared" si="10"/>
        <v>74.5</v>
      </c>
      <c r="X213">
        <f t="shared" si="11"/>
        <v>298</v>
      </c>
      <c r="AA213" t="str">
        <f t="shared" si="12"/>
        <v>PASS</v>
      </c>
    </row>
    <row r="214" spans="1:27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  <c r="W214">
        <f t="shared" si="10"/>
        <v>44.5</v>
      </c>
      <c r="X214">
        <f t="shared" si="11"/>
        <v>178</v>
      </c>
      <c r="AA214" t="str">
        <f t="shared" si="12"/>
        <v>PASS</v>
      </c>
    </row>
    <row r="215" spans="1:27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  <c r="W215">
        <f t="shared" si="10"/>
        <v>75.25</v>
      </c>
      <c r="X215">
        <f t="shared" si="11"/>
        <v>301</v>
      </c>
      <c r="AA215" t="str">
        <f t="shared" si="12"/>
        <v>PASS</v>
      </c>
    </row>
    <row r="216" spans="1:27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  <c r="W216">
        <f t="shared" si="10"/>
        <v>75.75</v>
      </c>
      <c r="X216">
        <f t="shared" si="11"/>
        <v>303</v>
      </c>
      <c r="AA216" t="str">
        <f t="shared" si="12"/>
        <v>PASS</v>
      </c>
    </row>
    <row r="217" spans="1:27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  <c r="W217">
        <f t="shared" si="10"/>
        <v>45.75</v>
      </c>
      <c r="X217">
        <f t="shared" si="11"/>
        <v>183</v>
      </c>
      <c r="AA217" t="str">
        <f t="shared" si="12"/>
        <v>FAIL</v>
      </c>
    </row>
    <row r="218" spans="1:27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  <c r="W218">
        <f t="shared" si="10"/>
        <v>37.75</v>
      </c>
      <c r="X218">
        <f t="shared" si="11"/>
        <v>151</v>
      </c>
      <c r="AA218" t="str">
        <f t="shared" si="12"/>
        <v>FAIL</v>
      </c>
    </row>
    <row r="219" spans="1:27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  <c r="W219">
        <f t="shared" si="10"/>
        <v>81.25</v>
      </c>
      <c r="X219">
        <f t="shared" si="11"/>
        <v>325</v>
      </c>
      <c r="AA219" t="str">
        <f t="shared" si="12"/>
        <v>PASS</v>
      </c>
    </row>
    <row r="220" spans="1:27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  <c r="W220">
        <f t="shared" si="10"/>
        <v>62.75</v>
      </c>
      <c r="X220">
        <f t="shared" si="11"/>
        <v>251</v>
      </c>
      <c r="AA220" t="str">
        <f t="shared" si="12"/>
        <v>PASS</v>
      </c>
    </row>
    <row r="221" spans="1:27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  <c r="W221">
        <f t="shared" si="10"/>
        <v>52.5</v>
      </c>
      <c r="X221">
        <f t="shared" si="11"/>
        <v>210</v>
      </c>
      <c r="AA221" t="str">
        <f t="shared" si="12"/>
        <v>FAIL</v>
      </c>
    </row>
    <row r="222" spans="1:27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  <c r="W222">
        <f t="shared" si="10"/>
        <v>56.75</v>
      </c>
      <c r="X222">
        <f t="shared" si="11"/>
        <v>227</v>
      </c>
      <c r="AA222" t="str">
        <f t="shared" si="12"/>
        <v>FAIL</v>
      </c>
    </row>
    <row r="223" spans="1:27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  <c r="W223">
        <f t="shared" si="10"/>
        <v>57.25</v>
      </c>
      <c r="X223">
        <f t="shared" si="11"/>
        <v>229</v>
      </c>
      <c r="AA223" t="str">
        <f t="shared" si="12"/>
        <v>PASS</v>
      </c>
    </row>
    <row r="224" spans="1:27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  <c r="W224">
        <f t="shared" si="10"/>
        <v>38</v>
      </c>
      <c r="X224">
        <f t="shared" si="11"/>
        <v>152</v>
      </c>
      <c r="AA224" t="str">
        <f t="shared" si="12"/>
        <v>FAIL</v>
      </c>
    </row>
    <row r="225" spans="1:27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  <c r="W225">
        <f t="shared" si="10"/>
        <v>45.5</v>
      </c>
      <c r="X225">
        <f t="shared" si="11"/>
        <v>182</v>
      </c>
      <c r="AA225" t="str">
        <f t="shared" si="12"/>
        <v>PASS</v>
      </c>
    </row>
    <row r="226" spans="1:27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  <c r="W226">
        <f t="shared" si="10"/>
        <v>43.25</v>
      </c>
      <c r="X226">
        <f t="shared" si="11"/>
        <v>173</v>
      </c>
      <c r="AA226" t="str">
        <f t="shared" si="12"/>
        <v>FAIL</v>
      </c>
    </row>
    <row r="227" spans="1:27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  <c r="W227">
        <f t="shared" si="10"/>
        <v>65.5</v>
      </c>
      <c r="X227">
        <f t="shared" si="11"/>
        <v>262</v>
      </c>
      <c r="AA227" t="str">
        <f t="shared" si="12"/>
        <v>PASS</v>
      </c>
    </row>
    <row r="228" spans="1:27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  <c r="W228">
        <f t="shared" si="10"/>
        <v>82</v>
      </c>
      <c r="X228">
        <f t="shared" si="11"/>
        <v>328</v>
      </c>
      <c r="AA228" t="str">
        <f t="shared" si="12"/>
        <v>PASS</v>
      </c>
    </row>
    <row r="229" spans="1:27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  <c r="W229">
        <f t="shared" si="10"/>
        <v>87.75</v>
      </c>
      <c r="X229">
        <f t="shared" si="11"/>
        <v>351</v>
      </c>
      <c r="AA229" t="str">
        <f t="shared" si="12"/>
        <v>FAIL</v>
      </c>
    </row>
    <row r="230" spans="1:27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  <c r="W230">
        <f t="shared" si="10"/>
        <v>42.25</v>
      </c>
      <c r="X230">
        <f t="shared" si="11"/>
        <v>169</v>
      </c>
      <c r="AA230" t="str">
        <f t="shared" si="12"/>
        <v>FAIL</v>
      </c>
    </row>
    <row r="231" spans="1:27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  <c r="W231">
        <f t="shared" si="10"/>
        <v>60.25</v>
      </c>
      <c r="X231">
        <f t="shared" si="11"/>
        <v>241</v>
      </c>
      <c r="AA231" t="str">
        <f t="shared" si="12"/>
        <v>PASS</v>
      </c>
    </row>
    <row r="232" spans="1:27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  <c r="W232">
        <f t="shared" si="10"/>
        <v>32</v>
      </c>
      <c r="X232">
        <f t="shared" si="11"/>
        <v>128</v>
      </c>
      <c r="AA232" t="str">
        <f t="shared" si="12"/>
        <v>FAIL</v>
      </c>
    </row>
    <row r="233" spans="1:27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  <c r="W233">
        <f t="shared" si="10"/>
        <v>52</v>
      </c>
      <c r="X233">
        <f t="shared" si="11"/>
        <v>208</v>
      </c>
      <c r="AA233" t="str">
        <f t="shared" si="12"/>
        <v>PASS</v>
      </c>
    </row>
    <row r="234" spans="1:27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  <c r="W234">
        <f t="shared" si="10"/>
        <v>67.25</v>
      </c>
      <c r="X234">
        <f t="shared" si="11"/>
        <v>269</v>
      </c>
      <c r="AA234" t="str">
        <f t="shared" si="12"/>
        <v>PASS</v>
      </c>
    </row>
    <row r="235" spans="1:27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  <c r="W235">
        <f t="shared" si="10"/>
        <v>73.5</v>
      </c>
      <c r="X235">
        <f t="shared" si="11"/>
        <v>294</v>
      </c>
      <c r="AA235" t="str">
        <f t="shared" si="12"/>
        <v>PASS</v>
      </c>
    </row>
    <row r="236" spans="1:27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  <c r="W236">
        <f t="shared" si="10"/>
        <v>41.25</v>
      </c>
      <c r="X236">
        <f t="shared" si="11"/>
        <v>165</v>
      </c>
      <c r="AA236" t="str">
        <f t="shared" si="12"/>
        <v>FAIL</v>
      </c>
    </row>
    <row r="237" spans="1:27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  <c r="W237">
        <f t="shared" si="10"/>
        <v>66</v>
      </c>
      <c r="X237">
        <f t="shared" si="11"/>
        <v>264</v>
      </c>
      <c r="AA237" t="str">
        <f t="shared" si="12"/>
        <v>FAIL</v>
      </c>
    </row>
    <row r="238" spans="1:27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  <c r="W238">
        <f t="shared" si="10"/>
        <v>83.75</v>
      </c>
      <c r="X238">
        <f t="shared" si="11"/>
        <v>335</v>
      </c>
      <c r="AA238" t="str">
        <f t="shared" si="12"/>
        <v>PASS</v>
      </c>
    </row>
    <row r="239" spans="1:27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  <c r="W239">
        <f t="shared" si="10"/>
        <v>42.5</v>
      </c>
      <c r="X239">
        <f t="shared" si="11"/>
        <v>170</v>
      </c>
      <c r="AA239" t="str">
        <f t="shared" si="12"/>
        <v>PASS</v>
      </c>
    </row>
    <row r="240" spans="1:27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  <c r="W240">
        <f t="shared" si="10"/>
        <v>65.5</v>
      </c>
      <c r="X240">
        <f t="shared" si="11"/>
        <v>262</v>
      </c>
      <c r="AA240" t="str">
        <f t="shared" si="12"/>
        <v>FAIL</v>
      </c>
    </row>
    <row r="241" spans="1:27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  <c r="W241">
        <f t="shared" si="10"/>
        <v>48.75</v>
      </c>
      <c r="X241">
        <f t="shared" si="11"/>
        <v>195</v>
      </c>
      <c r="AA241" t="str">
        <f t="shared" si="12"/>
        <v>PASS</v>
      </c>
    </row>
    <row r="242" spans="1:27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  <c r="W242">
        <f t="shared" si="10"/>
        <v>64</v>
      </c>
      <c r="X242">
        <f t="shared" si="11"/>
        <v>256</v>
      </c>
      <c r="AA242" t="str">
        <f t="shared" si="12"/>
        <v>FAIL</v>
      </c>
    </row>
    <row r="243" spans="1:27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  <c r="W243">
        <f t="shared" si="10"/>
        <v>64.5</v>
      </c>
      <c r="X243">
        <f t="shared" si="11"/>
        <v>258</v>
      </c>
      <c r="AA243" t="str">
        <f t="shared" si="12"/>
        <v>PASS</v>
      </c>
    </row>
    <row r="244" spans="1:27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  <c r="W244">
        <f t="shared" si="10"/>
        <v>72</v>
      </c>
      <c r="X244">
        <f t="shared" si="11"/>
        <v>288</v>
      </c>
      <c r="AA244" t="str">
        <f t="shared" si="12"/>
        <v>FAIL</v>
      </c>
    </row>
    <row r="245" spans="1:27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  <c r="W245">
        <f t="shared" si="10"/>
        <v>46</v>
      </c>
      <c r="X245">
        <f t="shared" si="11"/>
        <v>184</v>
      </c>
      <c r="AA245" t="str">
        <f t="shared" si="12"/>
        <v>FAIL</v>
      </c>
    </row>
    <row r="246" spans="1:27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  <c r="W246">
        <f t="shared" si="10"/>
        <v>67</v>
      </c>
      <c r="X246">
        <f t="shared" si="11"/>
        <v>268</v>
      </c>
      <c r="AA246" t="str">
        <f t="shared" si="12"/>
        <v>FAIL</v>
      </c>
    </row>
    <row r="247" spans="1:27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  <c r="W247">
        <f t="shared" si="10"/>
        <v>49</v>
      </c>
      <c r="X247">
        <f t="shared" si="11"/>
        <v>196</v>
      </c>
      <c r="AA247" t="str">
        <f t="shared" si="12"/>
        <v>FAIL</v>
      </c>
    </row>
    <row r="248" spans="1:27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  <c r="W248">
        <f t="shared" si="10"/>
        <v>58.25</v>
      </c>
      <c r="X248">
        <f t="shared" si="11"/>
        <v>233</v>
      </c>
      <c r="AA248" t="str">
        <f t="shared" si="12"/>
        <v>PASS</v>
      </c>
    </row>
    <row r="249" spans="1:27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  <c r="W249">
        <f t="shared" si="10"/>
        <v>75</v>
      </c>
      <c r="X249">
        <f t="shared" si="11"/>
        <v>300</v>
      </c>
      <c r="AA249" t="str">
        <f t="shared" si="12"/>
        <v>PASS</v>
      </c>
    </row>
    <row r="250" spans="1:27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  <c r="W250">
        <f t="shared" si="10"/>
        <v>65.75</v>
      </c>
      <c r="X250">
        <f t="shared" si="11"/>
        <v>263</v>
      </c>
      <c r="AA250" t="str">
        <f t="shared" si="12"/>
        <v>FAIL</v>
      </c>
    </row>
    <row r="251" spans="1:27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  <c r="W251">
        <f t="shared" si="10"/>
        <v>63.5</v>
      </c>
      <c r="X251">
        <f t="shared" si="11"/>
        <v>254</v>
      </c>
      <c r="AA251" t="str">
        <f t="shared" si="12"/>
        <v>FAIL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C2ED-1508-4494-902D-EEEB7793A34A}">
  <dimension ref="A1:V251"/>
  <sheetViews>
    <sheetView topLeftCell="L1" workbookViewId="0">
      <selection activeCell="R11" sqref="R11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37.36328125" customWidth="1"/>
    <col min="14" max="14" width="5.90625" bestFit="1" customWidth="1"/>
    <col min="15" max="15" width="10.26953125" bestFit="1" customWidth="1"/>
    <col min="16" max="16" width="8" bestFit="1" customWidth="1"/>
    <col min="17" max="17" width="17" customWidth="1"/>
    <col min="18" max="18" width="16.1796875" customWidth="1"/>
  </cols>
  <sheetData>
    <row r="1" spans="1:22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  <c r="T1" t="s">
        <v>545</v>
      </c>
      <c r="U1" t="s">
        <v>550</v>
      </c>
      <c r="V1" t="s">
        <v>551</v>
      </c>
    </row>
    <row r="2" spans="1:22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  <c r="T2">
        <f>G2+H2+I2+J2</f>
        <v>234</v>
      </c>
      <c r="U2">
        <f>ROUND(T2/400*100,2)</f>
        <v>58.5</v>
      </c>
      <c r="V2" t="str">
        <f>IF(AND(G2&gt;=35,H2&gt;=35,I2&gt;=35,J2&gt;=35,K2&gt;=75),"PASS","FAIL")</f>
        <v>FAIL</v>
      </c>
    </row>
    <row r="3" spans="1:22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  <c r="T3">
        <f t="shared" ref="T3:T66" si="0">G3+H3+I3+J3</f>
        <v>269</v>
      </c>
      <c r="U3">
        <f t="shared" ref="U3:U66" si="1">ROUND(T3/400*100,2)</f>
        <v>67.25</v>
      </c>
      <c r="V3" t="str">
        <f t="shared" ref="V3:V66" si="2">IF(AND(G3&gt;=35,H3&gt;=35,I3&gt;=35,J3&gt;=35,K3&gt;=75),"PASS","FAIL")</f>
        <v>PASS</v>
      </c>
    </row>
    <row r="4" spans="1:22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  <c r="T4">
        <f t="shared" si="0"/>
        <v>293</v>
      </c>
      <c r="U4">
        <f t="shared" si="1"/>
        <v>73.25</v>
      </c>
      <c r="V4" t="str">
        <f t="shared" si="2"/>
        <v>PASS</v>
      </c>
    </row>
    <row r="5" spans="1:22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  <c r="T5">
        <f t="shared" si="0"/>
        <v>201</v>
      </c>
      <c r="U5">
        <f t="shared" si="1"/>
        <v>50.25</v>
      </c>
      <c r="V5" t="str">
        <f t="shared" si="2"/>
        <v>PASS</v>
      </c>
    </row>
    <row r="6" spans="1:22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  <c r="T6">
        <f t="shared" si="0"/>
        <v>225</v>
      </c>
      <c r="U6">
        <f>ROUND(T6/400*100,2)</f>
        <v>56.25</v>
      </c>
      <c r="V6" t="str">
        <f t="shared" si="2"/>
        <v>PASS</v>
      </c>
    </row>
    <row r="7" spans="1:22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  <c r="T7">
        <f t="shared" si="0"/>
        <v>331</v>
      </c>
      <c r="U7">
        <f t="shared" si="1"/>
        <v>82.75</v>
      </c>
      <c r="V7" t="str">
        <f t="shared" si="2"/>
        <v>PASS</v>
      </c>
    </row>
    <row r="8" spans="1:22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  <c r="T8">
        <f t="shared" si="0"/>
        <v>184</v>
      </c>
      <c r="U8">
        <f t="shared" si="1"/>
        <v>46</v>
      </c>
      <c r="V8" t="str">
        <f t="shared" si="2"/>
        <v>FAIL</v>
      </c>
    </row>
    <row r="9" spans="1:22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  <c r="T9">
        <f t="shared" si="0"/>
        <v>378</v>
      </c>
      <c r="U9">
        <f t="shared" si="1"/>
        <v>94.5</v>
      </c>
      <c r="V9" t="str">
        <f t="shared" si="2"/>
        <v>PASS</v>
      </c>
    </row>
    <row r="10" spans="1:22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  <c r="T10">
        <f t="shared" si="0"/>
        <v>304</v>
      </c>
      <c r="U10">
        <f t="shared" si="1"/>
        <v>76</v>
      </c>
      <c r="V10" t="str">
        <f t="shared" si="2"/>
        <v>FAIL</v>
      </c>
    </row>
    <row r="11" spans="1:22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  <c r="Q11" s="15" t="s">
        <v>544</v>
      </c>
      <c r="R11" t="s">
        <v>117</v>
      </c>
      <c r="T11">
        <f t="shared" si="0"/>
        <v>276</v>
      </c>
      <c r="U11">
        <f t="shared" si="1"/>
        <v>69</v>
      </c>
      <c r="V11" t="str">
        <f t="shared" si="2"/>
        <v>PASS</v>
      </c>
    </row>
    <row r="12" spans="1:22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  <c r="Q12" s="12" t="s">
        <v>58</v>
      </c>
      <c r="R12" s="18" t="str">
        <f>INDEX(B2:B251,MATCH(R11,A2:A251,0))</f>
        <v>Lakshmi Mehta</v>
      </c>
      <c r="T12">
        <f t="shared" si="0"/>
        <v>184</v>
      </c>
      <c r="U12">
        <f t="shared" si="1"/>
        <v>46</v>
      </c>
      <c r="V12" t="str">
        <f t="shared" si="2"/>
        <v>PASS</v>
      </c>
    </row>
    <row r="13" spans="1:22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  <c r="Q13" s="12" t="s">
        <v>59</v>
      </c>
      <c r="R13" t="str">
        <f>INDEX(C2:C251,MATCH(R11,A2:A251,0))</f>
        <v>Civil</v>
      </c>
      <c r="T13">
        <f t="shared" si="0"/>
        <v>221</v>
      </c>
      <c r="U13">
        <f t="shared" si="1"/>
        <v>55.25</v>
      </c>
      <c r="V13" t="str">
        <f t="shared" si="2"/>
        <v>PASS</v>
      </c>
    </row>
    <row r="14" spans="1:22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  <c r="Q14" s="12" t="s">
        <v>61</v>
      </c>
      <c r="R14" s="18" t="str">
        <f>INDEX(E2:E251,MATCH(R11,A2:A251,0))</f>
        <v>Hostel</v>
      </c>
      <c r="T14">
        <f t="shared" si="0"/>
        <v>372</v>
      </c>
      <c r="U14">
        <f t="shared" si="1"/>
        <v>93</v>
      </c>
      <c r="V14" t="str">
        <f t="shared" si="2"/>
        <v>FAIL</v>
      </c>
    </row>
    <row r="15" spans="1:22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  <c r="Q15" s="12" t="s">
        <v>545</v>
      </c>
      <c r="R15" s="18">
        <f>INDEX(T2:T251,MATCH(R11,A2:A251,0))</f>
        <v>372</v>
      </c>
      <c r="T15">
        <f t="shared" si="0"/>
        <v>329</v>
      </c>
      <c r="U15">
        <f t="shared" si="1"/>
        <v>82.25</v>
      </c>
      <c r="V15" t="str">
        <f t="shared" si="2"/>
        <v>PASS</v>
      </c>
    </row>
    <row r="16" spans="1:22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  <c r="Q16" s="12" t="s">
        <v>546</v>
      </c>
      <c r="R16">
        <f>INDEX(U2:U251,MATCH(R11,A2:A251,0))</f>
        <v>93</v>
      </c>
      <c r="T16">
        <f t="shared" si="0"/>
        <v>345</v>
      </c>
      <c r="U16">
        <f t="shared" si="1"/>
        <v>86.25</v>
      </c>
      <c r="V16" t="str">
        <f t="shared" si="2"/>
        <v>PASS</v>
      </c>
    </row>
    <row r="17" spans="1:22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  <c r="Q17" s="12" t="s">
        <v>70</v>
      </c>
      <c r="R17" s="18" t="s">
        <v>99</v>
      </c>
      <c r="T17">
        <f t="shared" si="0"/>
        <v>135</v>
      </c>
      <c r="U17">
        <f t="shared" si="1"/>
        <v>33.75</v>
      </c>
      <c r="V17" t="str">
        <f t="shared" si="2"/>
        <v>FAIL</v>
      </c>
    </row>
    <row r="18" spans="1:22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  <c r="Q18" s="12" t="s">
        <v>547</v>
      </c>
      <c r="R18" t="str">
        <f>INDEX(V2:V251,MATCH(R11,A2:A251,0))</f>
        <v>FAIL</v>
      </c>
      <c r="T18">
        <f t="shared" si="0"/>
        <v>246</v>
      </c>
      <c r="U18">
        <f t="shared" si="1"/>
        <v>61.5</v>
      </c>
      <c r="V18" t="str">
        <f t="shared" si="2"/>
        <v>FAIL</v>
      </c>
    </row>
    <row r="19" spans="1:22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  <c r="R19" s="18"/>
      <c r="T19">
        <f t="shared" si="0"/>
        <v>180</v>
      </c>
      <c r="U19">
        <f t="shared" si="1"/>
        <v>45</v>
      </c>
      <c r="V19" t="str">
        <f t="shared" si="2"/>
        <v>FAIL</v>
      </c>
    </row>
    <row r="20" spans="1:22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  <c r="T20">
        <f t="shared" si="0"/>
        <v>227</v>
      </c>
      <c r="U20">
        <f t="shared" si="1"/>
        <v>56.75</v>
      </c>
      <c r="V20" t="str">
        <f t="shared" si="2"/>
        <v>PASS</v>
      </c>
    </row>
    <row r="21" spans="1:22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  <c r="T21">
        <f t="shared" si="0"/>
        <v>228</v>
      </c>
      <c r="U21">
        <f t="shared" si="1"/>
        <v>57</v>
      </c>
      <c r="V21" t="str">
        <f t="shared" si="2"/>
        <v>PASS</v>
      </c>
    </row>
    <row r="22" spans="1:22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  <c r="T22">
        <f t="shared" si="0"/>
        <v>233</v>
      </c>
      <c r="U22">
        <f t="shared" si="1"/>
        <v>58.25</v>
      </c>
      <c r="V22" t="str">
        <f t="shared" si="2"/>
        <v>FAIL</v>
      </c>
    </row>
    <row r="23" spans="1:22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  <c r="T23">
        <f t="shared" si="0"/>
        <v>210</v>
      </c>
      <c r="U23">
        <f t="shared" si="1"/>
        <v>52.5</v>
      </c>
      <c r="V23" t="str">
        <f t="shared" si="2"/>
        <v>FAIL</v>
      </c>
    </row>
    <row r="24" spans="1:22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  <c r="T24">
        <f t="shared" si="0"/>
        <v>262</v>
      </c>
      <c r="U24">
        <f t="shared" si="1"/>
        <v>65.5</v>
      </c>
      <c r="V24" t="str">
        <f t="shared" si="2"/>
        <v>FAIL</v>
      </c>
    </row>
    <row r="25" spans="1:22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  <c r="T25">
        <f t="shared" si="0"/>
        <v>233</v>
      </c>
      <c r="U25">
        <f t="shared" si="1"/>
        <v>58.25</v>
      </c>
      <c r="V25" t="str">
        <f t="shared" si="2"/>
        <v>PASS</v>
      </c>
    </row>
    <row r="26" spans="1:22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  <c r="T26">
        <f t="shared" si="0"/>
        <v>188</v>
      </c>
      <c r="U26">
        <f t="shared" si="1"/>
        <v>47</v>
      </c>
      <c r="V26" t="str">
        <f t="shared" si="2"/>
        <v>FAIL</v>
      </c>
    </row>
    <row r="27" spans="1:22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  <c r="T27">
        <f t="shared" si="0"/>
        <v>260</v>
      </c>
      <c r="U27">
        <f t="shared" si="1"/>
        <v>65</v>
      </c>
      <c r="V27" t="str">
        <f t="shared" si="2"/>
        <v>FAIL</v>
      </c>
    </row>
    <row r="28" spans="1:22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  <c r="T28">
        <f t="shared" si="0"/>
        <v>301</v>
      </c>
      <c r="U28">
        <f t="shared" si="1"/>
        <v>75.25</v>
      </c>
      <c r="V28" t="str">
        <f t="shared" si="2"/>
        <v>PASS</v>
      </c>
    </row>
    <row r="29" spans="1:22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  <c r="T29">
        <f t="shared" si="0"/>
        <v>331</v>
      </c>
      <c r="U29">
        <f t="shared" si="1"/>
        <v>82.75</v>
      </c>
      <c r="V29" t="str">
        <f t="shared" si="2"/>
        <v>PASS</v>
      </c>
    </row>
    <row r="30" spans="1:22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  <c r="T30">
        <f t="shared" si="0"/>
        <v>309</v>
      </c>
      <c r="U30">
        <f t="shared" si="1"/>
        <v>77.25</v>
      </c>
      <c r="V30" t="str">
        <f t="shared" si="2"/>
        <v>FAIL</v>
      </c>
    </row>
    <row r="31" spans="1:22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  <c r="T31">
        <f t="shared" si="0"/>
        <v>242</v>
      </c>
      <c r="U31">
        <f t="shared" si="1"/>
        <v>60.5</v>
      </c>
      <c r="V31" t="str">
        <f t="shared" si="2"/>
        <v>PASS</v>
      </c>
    </row>
    <row r="32" spans="1:22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  <c r="T32">
        <f t="shared" si="0"/>
        <v>79</v>
      </c>
      <c r="U32">
        <f t="shared" si="1"/>
        <v>19.75</v>
      </c>
      <c r="V32" t="str">
        <f t="shared" si="2"/>
        <v>FAIL</v>
      </c>
    </row>
    <row r="33" spans="1:2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  <c r="T33">
        <f t="shared" si="0"/>
        <v>329</v>
      </c>
      <c r="U33">
        <f t="shared" si="1"/>
        <v>82.25</v>
      </c>
      <c r="V33" t="str">
        <f t="shared" si="2"/>
        <v>PASS</v>
      </c>
    </row>
    <row r="34" spans="1:2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  <c r="T34">
        <f t="shared" si="0"/>
        <v>214</v>
      </c>
      <c r="U34">
        <f t="shared" si="1"/>
        <v>53.5</v>
      </c>
      <c r="V34" t="str">
        <f t="shared" si="2"/>
        <v>PASS</v>
      </c>
    </row>
    <row r="35" spans="1:2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  <c r="T35">
        <f t="shared" si="0"/>
        <v>338</v>
      </c>
      <c r="U35">
        <f t="shared" si="1"/>
        <v>84.5</v>
      </c>
      <c r="V35" t="str">
        <f t="shared" si="2"/>
        <v>PASS</v>
      </c>
    </row>
    <row r="36" spans="1:2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  <c r="T36">
        <f t="shared" si="0"/>
        <v>170</v>
      </c>
      <c r="U36">
        <f t="shared" si="1"/>
        <v>42.5</v>
      </c>
      <c r="V36" t="str">
        <f t="shared" si="2"/>
        <v>FAIL</v>
      </c>
    </row>
    <row r="37" spans="1:2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  <c r="T37">
        <f t="shared" si="0"/>
        <v>174</v>
      </c>
      <c r="U37">
        <f t="shared" si="1"/>
        <v>43.5</v>
      </c>
      <c r="V37" t="str">
        <f t="shared" si="2"/>
        <v>FAIL</v>
      </c>
    </row>
    <row r="38" spans="1:2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  <c r="T38">
        <f t="shared" si="0"/>
        <v>296</v>
      </c>
      <c r="U38">
        <f t="shared" si="1"/>
        <v>74</v>
      </c>
      <c r="V38" t="str">
        <f t="shared" si="2"/>
        <v>PASS</v>
      </c>
    </row>
    <row r="39" spans="1:2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  <c r="T39">
        <f t="shared" si="0"/>
        <v>166</v>
      </c>
      <c r="U39">
        <f t="shared" si="1"/>
        <v>41.5</v>
      </c>
      <c r="V39" t="str">
        <f t="shared" si="2"/>
        <v>FAIL</v>
      </c>
    </row>
    <row r="40" spans="1:2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  <c r="T40">
        <f t="shared" si="0"/>
        <v>266</v>
      </c>
      <c r="U40">
        <f t="shared" si="1"/>
        <v>66.5</v>
      </c>
      <c r="V40" t="str">
        <f t="shared" si="2"/>
        <v>PASS</v>
      </c>
    </row>
    <row r="41" spans="1:2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  <c r="T41">
        <f t="shared" si="0"/>
        <v>261</v>
      </c>
      <c r="U41">
        <f t="shared" si="1"/>
        <v>65.25</v>
      </c>
      <c r="V41" t="str">
        <f t="shared" si="2"/>
        <v>PASS</v>
      </c>
    </row>
    <row r="42" spans="1:2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  <c r="T42">
        <f t="shared" si="0"/>
        <v>319</v>
      </c>
      <c r="U42">
        <f t="shared" si="1"/>
        <v>79.75</v>
      </c>
      <c r="V42" t="str">
        <f t="shared" si="2"/>
        <v>PASS</v>
      </c>
    </row>
    <row r="43" spans="1:2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  <c r="T43">
        <f t="shared" si="0"/>
        <v>317</v>
      </c>
      <c r="U43">
        <f t="shared" si="1"/>
        <v>79.25</v>
      </c>
      <c r="V43" t="str">
        <f t="shared" si="2"/>
        <v>PASS</v>
      </c>
    </row>
    <row r="44" spans="1:2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  <c r="T44">
        <f t="shared" si="0"/>
        <v>256</v>
      </c>
      <c r="U44">
        <f t="shared" si="1"/>
        <v>64</v>
      </c>
      <c r="V44" t="str">
        <f t="shared" si="2"/>
        <v>PASS</v>
      </c>
    </row>
    <row r="45" spans="1:2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  <c r="T45">
        <f t="shared" si="0"/>
        <v>196</v>
      </c>
      <c r="U45">
        <f t="shared" si="1"/>
        <v>49</v>
      </c>
      <c r="V45" t="str">
        <f t="shared" si="2"/>
        <v>PASS</v>
      </c>
    </row>
    <row r="46" spans="1:2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  <c r="T46">
        <f t="shared" si="0"/>
        <v>237</v>
      </c>
      <c r="U46">
        <f t="shared" si="1"/>
        <v>59.25</v>
      </c>
      <c r="V46" t="str">
        <f t="shared" si="2"/>
        <v>FAIL</v>
      </c>
    </row>
    <row r="47" spans="1:2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  <c r="T47">
        <f t="shared" si="0"/>
        <v>181</v>
      </c>
      <c r="U47">
        <f t="shared" si="1"/>
        <v>45.25</v>
      </c>
      <c r="V47" t="str">
        <f t="shared" si="2"/>
        <v>PASS</v>
      </c>
    </row>
    <row r="48" spans="1:2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  <c r="T48">
        <f t="shared" si="0"/>
        <v>199</v>
      </c>
      <c r="U48">
        <f t="shared" si="1"/>
        <v>49.75</v>
      </c>
      <c r="V48" t="str">
        <f t="shared" si="2"/>
        <v>PASS</v>
      </c>
    </row>
    <row r="49" spans="1:2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  <c r="T49">
        <f t="shared" si="0"/>
        <v>214</v>
      </c>
      <c r="U49">
        <f t="shared" si="1"/>
        <v>53.5</v>
      </c>
      <c r="V49" t="str">
        <f t="shared" si="2"/>
        <v>PASS</v>
      </c>
    </row>
    <row r="50" spans="1:2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  <c r="T50">
        <f t="shared" si="0"/>
        <v>337</v>
      </c>
      <c r="U50">
        <f t="shared" si="1"/>
        <v>84.25</v>
      </c>
      <c r="V50" t="str">
        <f t="shared" si="2"/>
        <v>PASS</v>
      </c>
    </row>
    <row r="51" spans="1:2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  <c r="T51">
        <f t="shared" si="0"/>
        <v>306</v>
      </c>
      <c r="U51">
        <f t="shared" si="1"/>
        <v>76.5</v>
      </c>
      <c r="V51" t="str">
        <f t="shared" si="2"/>
        <v>PASS</v>
      </c>
    </row>
    <row r="52" spans="1:2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  <c r="T52">
        <f t="shared" si="0"/>
        <v>171</v>
      </c>
      <c r="U52">
        <f t="shared" si="1"/>
        <v>42.75</v>
      </c>
      <c r="V52" t="str">
        <f t="shared" si="2"/>
        <v>PASS</v>
      </c>
    </row>
    <row r="53" spans="1:2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  <c r="T53">
        <f t="shared" si="0"/>
        <v>302</v>
      </c>
      <c r="U53">
        <f t="shared" si="1"/>
        <v>75.5</v>
      </c>
      <c r="V53" t="str">
        <f t="shared" si="2"/>
        <v>PASS</v>
      </c>
    </row>
    <row r="54" spans="1:2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  <c r="T54">
        <f t="shared" si="0"/>
        <v>315</v>
      </c>
      <c r="U54">
        <f t="shared" si="1"/>
        <v>78.75</v>
      </c>
      <c r="V54" t="str">
        <f t="shared" si="2"/>
        <v>FAIL</v>
      </c>
    </row>
    <row r="55" spans="1:2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  <c r="T55">
        <f t="shared" si="0"/>
        <v>356</v>
      </c>
      <c r="U55">
        <f t="shared" si="1"/>
        <v>89</v>
      </c>
      <c r="V55" t="str">
        <f t="shared" si="2"/>
        <v>PASS</v>
      </c>
    </row>
    <row r="56" spans="1:2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  <c r="T56">
        <f t="shared" si="0"/>
        <v>248</v>
      </c>
      <c r="U56">
        <f t="shared" si="1"/>
        <v>62</v>
      </c>
      <c r="V56" t="str">
        <f t="shared" si="2"/>
        <v>PASS</v>
      </c>
    </row>
    <row r="57" spans="1:2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  <c r="T57">
        <f t="shared" si="0"/>
        <v>329</v>
      </c>
      <c r="U57">
        <f t="shared" si="1"/>
        <v>82.25</v>
      </c>
      <c r="V57" t="str">
        <f t="shared" si="2"/>
        <v>FAIL</v>
      </c>
    </row>
    <row r="58" spans="1:2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  <c r="T58">
        <f t="shared" si="0"/>
        <v>195</v>
      </c>
      <c r="U58">
        <f t="shared" si="1"/>
        <v>48.75</v>
      </c>
      <c r="V58" t="str">
        <f t="shared" si="2"/>
        <v>PASS</v>
      </c>
    </row>
    <row r="59" spans="1:2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  <c r="T59">
        <f t="shared" si="0"/>
        <v>143</v>
      </c>
      <c r="U59">
        <f t="shared" si="1"/>
        <v>35.75</v>
      </c>
      <c r="V59" t="str">
        <f t="shared" si="2"/>
        <v>FAIL</v>
      </c>
    </row>
    <row r="60" spans="1:2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  <c r="T60">
        <f t="shared" si="0"/>
        <v>223</v>
      </c>
      <c r="U60">
        <f t="shared" si="1"/>
        <v>55.75</v>
      </c>
      <c r="V60" t="str">
        <f t="shared" si="2"/>
        <v>PASS</v>
      </c>
    </row>
    <row r="61" spans="1:2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  <c r="T61">
        <f t="shared" si="0"/>
        <v>153</v>
      </c>
      <c r="U61">
        <f t="shared" si="1"/>
        <v>38.25</v>
      </c>
      <c r="V61" t="str">
        <f t="shared" si="2"/>
        <v>FAIL</v>
      </c>
    </row>
    <row r="62" spans="1:2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  <c r="T62">
        <f t="shared" si="0"/>
        <v>276</v>
      </c>
      <c r="U62">
        <f t="shared" si="1"/>
        <v>69</v>
      </c>
      <c r="V62" t="str">
        <f t="shared" si="2"/>
        <v>PASS</v>
      </c>
    </row>
    <row r="63" spans="1:2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  <c r="T63">
        <f t="shared" si="0"/>
        <v>280</v>
      </c>
      <c r="U63">
        <f t="shared" si="1"/>
        <v>70</v>
      </c>
      <c r="V63" t="str">
        <f t="shared" si="2"/>
        <v>FAIL</v>
      </c>
    </row>
    <row r="64" spans="1:2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  <c r="T64">
        <f t="shared" si="0"/>
        <v>94</v>
      </c>
      <c r="U64">
        <f t="shared" si="1"/>
        <v>23.5</v>
      </c>
      <c r="V64" t="str">
        <f t="shared" si="2"/>
        <v>FAIL</v>
      </c>
    </row>
    <row r="65" spans="1:2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  <c r="T65">
        <f t="shared" si="0"/>
        <v>219</v>
      </c>
      <c r="U65">
        <f t="shared" si="1"/>
        <v>54.75</v>
      </c>
      <c r="V65" t="str">
        <f t="shared" si="2"/>
        <v>PASS</v>
      </c>
    </row>
    <row r="66" spans="1:2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  <c r="T66">
        <f t="shared" si="0"/>
        <v>373</v>
      </c>
      <c r="U66">
        <f t="shared" si="1"/>
        <v>93.25</v>
      </c>
      <c r="V66" t="str">
        <f t="shared" si="2"/>
        <v>PASS</v>
      </c>
    </row>
    <row r="67" spans="1:2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  <c r="T67">
        <f t="shared" ref="T67:T130" si="3">G67+H67+I67+J67</f>
        <v>298</v>
      </c>
      <c r="U67">
        <f t="shared" ref="U67:U130" si="4">ROUND(T67/400*100,2)</f>
        <v>74.5</v>
      </c>
      <c r="V67" t="str">
        <f t="shared" ref="V67:V130" si="5">IF(AND(G67&gt;=35,H67&gt;=35,I67&gt;=35,J67&gt;=35,K67&gt;=75),"PASS","FAIL")</f>
        <v>PASS</v>
      </c>
    </row>
    <row r="68" spans="1:2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  <c r="T68">
        <f t="shared" si="3"/>
        <v>123</v>
      </c>
      <c r="U68">
        <f t="shared" si="4"/>
        <v>30.75</v>
      </c>
      <c r="V68" t="str">
        <f t="shared" si="5"/>
        <v>FAIL</v>
      </c>
    </row>
    <row r="69" spans="1:2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  <c r="T69">
        <f t="shared" si="3"/>
        <v>286</v>
      </c>
      <c r="U69">
        <f t="shared" si="4"/>
        <v>71.5</v>
      </c>
      <c r="V69" t="str">
        <f t="shared" si="5"/>
        <v>FAIL</v>
      </c>
    </row>
    <row r="70" spans="1:2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  <c r="T70">
        <f t="shared" si="3"/>
        <v>330</v>
      </c>
      <c r="U70">
        <f t="shared" si="4"/>
        <v>82.5</v>
      </c>
      <c r="V70" t="str">
        <f t="shared" si="5"/>
        <v>FAIL</v>
      </c>
    </row>
    <row r="71" spans="1:2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  <c r="T71">
        <f t="shared" si="3"/>
        <v>138</v>
      </c>
      <c r="U71">
        <f t="shared" si="4"/>
        <v>34.5</v>
      </c>
      <c r="V71" t="str">
        <f t="shared" si="5"/>
        <v>FAIL</v>
      </c>
    </row>
    <row r="72" spans="1:2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  <c r="T72">
        <f t="shared" si="3"/>
        <v>134</v>
      </c>
      <c r="U72">
        <f t="shared" si="4"/>
        <v>33.5</v>
      </c>
      <c r="V72" t="str">
        <f t="shared" si="5"/>
        <v>FAIL</v>
      </c>
    </row>
    <row r="73" spans="1:2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  <c r="T73">
        <f t="shared" si="3"/>
        <v>164</v>
      </c>
      <c r="U73">
        <f t="shared" si="4"/>
        <v>41</v>
      </c>
      <c r="V73" t="str">
        <f t="shared" si="5"/>
        <v>FAIL</v>
      </c>
    </row>
    <row r="74" spans="1:2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  <c r="T74">
        <f t="shared" si="3"/>
        <v>371</v>
      </c>
      <c r="U74">
        <f t="shared" si="4"/>
        <v>92.75</v>
      </c>
      <c r="V74" t="str">
        <f t="shared" si="5"/>
        <v>FAIL</v>
      </c>
    </row>
    <row r="75" spans="1:2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  <c r="T75">
        <f t="shared" si="3"/>
        <v>367</v>
      </c>
      <c r="U75">
        <f t="shared" si="4"/>
        <v>91.75</v>
      </c>
      <c r="V75" t="str">
        <f t="shared" si="5"/>
        <v>PASS</v>
      </c>
    </row>
    <row r="76" spans="1:2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  <c r="T76">
        <f t="shared" si="3"/>
        <v>241</v>
      </c>
      <c r="U76">
        <f t="shared" si="4"/>
        <v>60.25</v>
      </c>
      <c r="V76" t="str">
        <f t="shared" si="5"/>
        <v>PASS</v>
      </c>
    </row>
    <row r="77" spans="1:2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  <c r="T77">
        <f t="shared" si="3"/>
        <v>225</v>
      </c>
      <c r="U77">
        <f t="shared" si="4"/>
        <v>56.25</v>
      </c>
      <c r="V77" t="str">
        <f t="shared" si="5"/>
        <v>FAIL</v>
      </c>
    </row>
    <row r="78" spans="1:2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  <c r="T78">
        <f t="shared" si="3"/>
        <v>261</v>
      </c>
      <c r="U78">
        <f t="shared" si="4"/>
        <v>65.25</v>
      </c>
      <c r="V78" t="str">
        <f t="shared" si="5"/>
        <v>FAIL</v>
      </c>
    </row>
    <row r="79" spans="1:2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  <c r="T79">
        <f t="shared" si="3"/>
        <v>241</v>
      </c>
      <c r="U79">
        <f t="shared" si="4"/>
        <v>60.25</v>
      </c>
      <c r="V79" t="str">
        <f t="shared" si="5"/>
        <v>FAIL</v>
      </c>
    </row>
    <row r="80" spans="1:2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  <c r="T80">
        <f t="shared" si="3"/>
        <v>258</v>
      </c>
      <c r="U80">
        <f t="shared" si="4"/>
        <v>64.5</v>
      </c>
      <c r="V80" t="str">
        <f t="shared" si="5"/>
        <v>PASS</v>
      </c>
    </row>
    <row r="81" spans="1:2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  <c r="T81">
        <f t="shared" si="3"/>
        <v>256</v>
      </c>
      <c r="U81">
        <f t="shared" si="4"/>
        <v>64</v>
      </c>
      <c r="V81" t="str">
        <f t="shared" si="5"/>
        <v>FAIL</v>
      </c>
    </row>
    <row r="82" spans="1:2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  <c r="T82">
        <f t="shared" si="3"/>
        <v>264</v>
      </c>
      <c r="U82">
        <f t="shared" si="4"/>
        <v>66</v>
      </c>
      <c r="V82" t="str">
        <f t="shared" si="5"/>
        <v>PASS</v>
      </c>
    </row>
    <row r="83" spans="1:2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  <c r="T83">
        <f t="shared" si="3"/>
        <v>239</v>
      </c>
      <c r="U83">
        <f t="shared" si="4"/>
        <v>59.75</v>
      </c>
      <c r="V83" t="str">
        <f t="shared" si="5"/>
        <v>PASS</v>
      </c>
    </row>
    <row r="84" spans="1:2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  <c r="T84">
        <f t="shared" si="3"/>
        <v>209</v>
      </c>
      <c r="U84">
        <f t="shared" si="4"/>
        <v>52.25</v>
      </c>
      <c r="V84" t="str">
        <f t="shared" si="5"/>
        <v>PASS</v>
      </c>
    </row>
    <row r="85" spans="1:2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  <c r="T85">
        <f t="shared" si="3"/>
        <v>159</v>
      </c>
      <c r="U85">
        <f t="shared" si="4"/>
        <v>39.75</v>
      </c>
      <c r="V85" t="str">
        <f t="shared" si="5"/>
        <v>FAIL</v>
      </c>
    </row>
    <row r="86" spans="1:2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  <c r="T86">
        <f t="shared" si="3"/>
        <v>293</v>
      </c>
      <c r="U86">
        <f t="shared" si="4"/>
        <v>73.25</v>
      </c>
      <c r="V86" t="str">
        <f t="shared" si="5"/>
        <v>PASS</v>
      </c>
    </row>
    <row r="87" spans="1:2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  <c r="T87">
        <f t="shared" si="3"/>
        <v>151</v>
      </c>
      <c r="U87">
        <f t="shared" si="4"/>
        <v>37.75</v>
      </c>
      <c r="V87" t="str">
        <f t="shared" si="5"/>
        <v>FAIL</v>
      </c>
    </row>
    <row r="88" spans="1:2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  <c r="T88">
        <f t="shared" si="3"/>
        <v>219</v>
      </c>
      <c r="U88">
        <f t="shared" si="4"/>
        <v>54.75</v>
      </c>
      <c r="V88" t="str">
        <f t="shared" si="5"/>
        <v>PASS</v>
      </c>
    </row>
    <row r="89" spans="1:2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  <c r="T89">
        <f t="shared" si="3"/>
        <v>124</v>
      </c>
      <c r="U89">
        <f t="shared" si="4"/>
        <v>31</v>
      </c>
      <c r="V89" t="str">
        <f t="shared" si="5"/>
        <v>FAIL</v>
      </c>
    </row>
    <row r="90" spans="1:2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  <c r="T90">
        <f t="shared" si="3"/>
        <v>286</v>
      </c>
      <c r="U90">
        <f t="shared" si="4"/>
        <v>71.5</v>
      </c>
      <c r="V90" t="str">
        <f t="shared" si="5"/>
        <v>PASS</v>
      </c>
    </row>
    <row r="91" spans="1:2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  <c r="T91">
        <f t="shared" si="3"/>
        <v>257</v>
      </c>
      <c r="U91">
        <f t="shared" si="4"/>
        <v>64.25</v>
      </c>
      <c r="V91" t="str">
        <f t="shared" si="5"/>
        <v>PASS</v>
      </c>
    </row>
    <row r="92" spans="1:2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  <c r="T92">
        <f t="shared" si="3"/>
        <v>139</v>
      </c>
      <c r="U92">
        <f t="shared" si="4"/>
        <v>34.75</v>
      </c>
      <c r="V92" t="str">
        <f t="shared" si="5"/>
        <v>FAIL</v>
      </c>
    </row>
    <row r="93" spans="1:2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  <c r="T93">
        <f t="shared" si="3"/>
        <v>340</v>
      </c>
      <c r="U93">
        <f t="shared" si="4"/>
        <v>85</v>
      </c>
      <c r="V93" t="str">
        <f t="shared" si="5"/>
        <v>FAIL</v>
      </c>
    </row>
    <row r="94" spans="1:2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  <c r="T94">
        <f t="shared" si="3"/>
        <v>77</v>
      </c>
      <c r="U94">
        <f t="shared" si="4"/>
        <v>19.25</v>
      </c>
      <c r="V94" t="str">
        <f t="shared" si="5"/>
        <v>FAIL</v>
      </c>
    </row>
    <row r="95" spans="1:2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  <c r="T95">
        <f t="shared" si="3"/>
        <v>185</v>
      </c>
      <c r="U95">
        <f t="shared" si="4"/>
        <v>46.25</v>
      </c>
      <c r="V95" t="str">
        <f t="shared" si="5"/>
        <v>FAIL</v>
      </c>
    </row>
    <row r="96" spans="1:2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  <c r="T96">
        <f t="shared" si="3"/>
        <v>203</v>
      </c>
      <c r="U96">
        <f t="shared" si="4"/>
        <v>50.75</v>
      </c>
      <c r="V96" t="str">
        <f t="shared" si="5"/>
        <v>FAIL</v>
      </c>
    </row>
    <row r="97" spans="1:2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  <c r="T97">
        <f t="shared" si="3"/>
        <v>219</v>
      </c>
      <c r="U97">
        <f t="shared" si="4"/>
        <v>54.75</v>
      </c>
      <c r="V97" t="str">
        <f t="shared" si="5"/>
        <v>PASS</v>
      </c>
    </row>
    <row r="98" spans="1:2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  <c r="T98">
        <f t="shared" si="3"/>
        <v>359</v>
      </c>
      <c r="U98">
        <f t="shared" si="4"/>
        <v>89.75</v>
      </c>
      <c r="V98" t="str">
        <f t="shared" si="5"/>
        <v>PASS</v>
      </c>
    </row>
    <row r="99" spans="1:2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  <c r="T99">
        <f t="shared" si="3"/>
        <v>248</v>
      </c>
      <c r="U99">
        <f t="shared" si="4"/>
        <v>62</v>
      </c>
      <c r="V99" t="str">
        <f t="shared" si="5"/>
        <v>PASS</v>
      </c>
    </row>
    <row r="100" spans="1:2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  <c r="T100">
        <f t="shared" si="3"/>
        <v>296</v>
      </c>
      <c r="U100">
        <f t="shared" si="4"/>
        <v>74</v>
      </c>
      <c r="V100" t="str">
        <f t="shared" si="5"/>
        <v>FAIL</v>
      </c>
    </row>
    <row r="101" spans="1:2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  <c r="T101">
        <f t="shared" si="3"/>
        <v>245</v>
      </c>
      <c r="U101">
        <f t="shared" si="4"/>
        <v>61.25</v>
      </c>
      <c r="V101" t="str">
        <f t="shared" si="5"/>
        <v>FAIL</v>
      </c>
    </row>
    <row r="102" spans="1:2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  <c r="T102">
        <f t="shared" si="3"/>
        <v>138</v>
      </c>
      <c r="U102">
        <f t="shared" si="4"/>
        <v>34.5</v>
      </c>
      <c r="V102" t="str">
        <f t="shared" si="5"/>
        <v>FAIL</v>
      </c>
    </row>
    <row r="103" spans="1:2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  <c r="T103">
        <f t="shared" si="3"/>
        <v>167</v>
      </c>
      <c r="U103">
        <f t="shared" si="4"/>
        <v>41.75</v>
      </c>
      <c r="V103" t="str">
        <f t="shared" si="5"/>
        <v>FAIL</v>
      </c>
    </row>
    <row r="104" spans="1:2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  <c r="T104">
        <f t="shared" si="3"/>
        <v>130</v>
      </c>
      <c r="U104">
        <f t="shared" si="4"/>
        <v>32.5</v>
      </c>
      <c r="V104" t="str">
        <f t="shared" si="5"/>
        <v>FAIL</v>
      </c>
    </row>
    <row r="105" spans="1:2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  <c r="T105">
        <f t="shared" si="3"/>
        <v>250</v>
      </c>
      <c r="U105">
        <f t="shared" si="4"/>
        <v>62.5</v>
      </c>
      <c r="V105" t="str">
        <f t="shared" si="5"/>
        <v>PASS</v>
      </c>
    </row>
    <row r="106" spans="1:2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  <c r="T106">
        <f t="shared" si="3"/>
        <v>238</v>
      </c>
      <c r="U106">
        <f t="shared" si="4"/>
        <v>59.5</v>
      </c>
      <c r="V106" t="str">
        <f t="shared" si="5"/>
        <v>FAIL</v>
      </c>
    </row>
    <row r="107" spans="1:2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  <c r="T107">
        <f t="shared" si="3"/>
        <v>160</v>
      </c>
      <c r="U107">
        <f t="shared" si="4"/>
        <v>40</v>
      </c>
      <c r="V107" t="str">
        <f t="shared" si="5"/>
        <v>PASS</v>
      </c>
    </row>
    <row r="108" spans="1:2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  <c r="T108">
        <f t="shared" si="3"/>
        <v>268</v>
      </c>
      <c r="U108">
        <f t="shared" si="4"/>
        <v>67</v>
      </c>
      <c r="V108" t="str">
        <f t="shared" si="5"/>
        <v>PASS</v>
      </c>
    </row>
    <row r="109" spans="1:2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  <c r="T109">
        <f t="shared" si="3"/>
        <v>125</v>
      </c>
      <c r="U109">
        <f t="shared" si="4"/>
        <v>31.25</v>
      </c>
      <c r="V109" t="str">
        <f t="shared" si="5"/>
        <v>FAIL</v>
      </c>
    </row>
    <row r="110" spans="1:2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  <c r="T110">
        <f t="shared" si="3"/>
        <v>321</v>
      </c>
      <c r="U110">
        <f t="shared" si="4"/>
        <v>80.25</v>
      </c>
      <c r="V110" t="str">
        <f t="shared" si="5"/>
        <v>PASS</v>
      </c>
    </row>
    <row r="111" spans="1:2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  <c r="T111">
        <f t="shared" si="3"/>
        <v>239</v>
      </c>
      <c r="U111">
        <f t="shared" si="4"/>
        <v>59.75</v>
      </c>
      <c r="V111" t="str">
        <f t="shared" si="5"/>
        <v>FAIL</v>
      </c>
    </row>
    <row r="112" spans="1:2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  <c r="T112">
        <f t="shared" si="3"/>
        <v>301</v>
      </c>
      <c r="U112">
        <f t="shared" si="4"/>
        <v>75.25</v>
      </c>
      <c r="V112" t="str">
        <f t="shared" si="5"/>
        <v>PASS</v>
      </c>
    </row>
    <row r="113" spans="1:2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  <c r="T113">
        <f t="shared" si="3"/>
        <v>269</v>
      </c>
      <c r="U113">
        <f t="shared" si="4"/>
        <v>67.25</v>
      </c>
      <c r="V113" t="str">
        <f t="shared" si="5"/>
        <v>PASS</v>
      </c>
    </row>
    <row r="114" spans="1:2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  <c r="T114">
        <f t="shared" si="3"/>
        <v>342</v>
      </c>
      <c r="U114">
        <f t="shared" si="4"/>
        <v>85.5</v>
      </c>
      <c r="V114" t="str">
        <f t="shared" si="5"/>
        <v>FAIL</v>
      </c>
    </row>
    <row r="115" spans="1:2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  <c r="T115">
        <f t="shared" si="3"/>
        <v>280</v>
      </c>
      <c r="U115">
        <f t="shared" si="4"/>
        <v>70</v>
      </c>
      <c r="V115" t="str">
        <f t="shared" si="5"/>
        <v>PASS</v>
      </c>
    </row>
    <row r="116" spans="1:2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  <c r="T116">
        <f t="shared" si="3"/>
        <v>216</v>
      </c>
      <c r="U116">
        <f t="shared" si="4"/>
        <v>54</v>
      </c>
      <c r="V116" t="str">
        <f t="shared" si="5"/>
        <v>FAIL</v>
      </c>
    </row>
    <row r="117" spans="1:2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  <c r="T117">
        <f t="shared" si="3"/>
        <v>172</v>
      </c>
      <c r="U117">
        <f t="shared" si="4"/>
        <v>43</v>
      </c>
      <c r="V117" t="str">
        <f t="shared" si="5"/>
        <v>FAIL</v>
      </c>
    </row>
    <row r="118" spans="1:2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  <c r="T118">
        <f t="shared" si="3"/>
        <v>224</v>
      </c>
      <c r="U118">
        <f t="shared" si="4"/>
        <v>56</v>
      </c>
      <c r="V118" t="str">
        <f t="shared" si="5"/>
        <v>PASS</v>
      </c>
    </row>
    <row r="119" spans="1:2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  <c r="T119">
        <f t="shared" si="3"/>
        <v>332</v>
      </c>
      <c r="U119">
        <f t="shared" si="4"/>
        <v>83</v>
      </c>
      <c r="V119" t="str">
        <f t="shared" si="5"/>
        <v>PASS</v>
      </c>
    </row>
    <row r="120" spans="1:2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  <c r="T120">
        <f t="shared" si="3"/>
        <v>281</v>
      </c>
      <c r="U120">
        <f t="shared" si="4"/>
        <v>70.25</v>
      </c>
      <c r="V120" t="str">
        <f t="shared" si="5"/>
        <v>PASS</v>
      </c>
    </row>
    <row r="121" spans="1:2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  <c r="T121">
        <f t="shared" si="3"/>
        <v>281</v>
      </c>
      <c r="U121">
        <f t="shared" si="4"/>
        <v>70.25</v>
      </c>
      <c r="V121" t="str">
        <f t="shared" si="5"/>
        <v>PASS</v>
      </c>
    </row>
    <row r="122" spans="1:2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  <c r="T122">
        <f t="shared" si="3"/>
        <v>112</v>
      </c>
      <c r="U122">
        <f t="shared" si="4"/>
        <v>28</v>
      </c>
      <c r="V122" t="str">
        <f t="shared" si="5"/>
        <v>FAIL</v>
      </c>
    </row>
    <row r="123" spans="1:2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  <c r="T123">
        <f t="shared" si="3"/>
        <v>263</v>
      </c>
      <c r="U123">
        <f t="shared" si="4"/>
        <v>65.75</v>
      </c>
      <c r="V123" t="str">
        <f t="shared" si="5"/>
        <v>PASS</v>
      </c>
    </row>
    <row r="124" spans="1:2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  <c r="T124">
        <f t="shared" si="3"/>
        <v>297</v>
      </c>
      <c r="U124">
        <f t="shared" si="4"/>
        <v>74.25</v>
      </c>
      <c r="V124" t="str">
        <f t="shared" si="5"/>
        <v>FAIL</v>
      </c>
    </row>
    <row r="125" spans="1:2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  <c r="T125">
        <f t="shared" si="3"/>
        <v>300</v>
      </c>
      <c r="U125">
        <f t="shared" si="4"/>
        <v>75</v>
      </c>
      <c r="V125" t="str">
        <f t="shared" si="5"/>
        <v>PASS</v>
      </c>
    </row>
    <row r="126" spans="1:2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  <c r="T126">
        <f t="shared" si="3"/>
        <v>368</v>
      </c>
      <c r="U126">
        <f t="shared" si="4"/>
        <v>92</v>
      </c>
      <c r="V126" t="str">
        <f t="shared" si="5"/>
        <v>FAIL</v>
      </c>
    </row>
    <row r="127" spans="1:2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  <c r="T127">
        <f t="shared" si="3"/>
        <v>357</v>
      </c>
      <c r="U127">
        <f t="shared" si="4"/>
        <v>89.25</v>
      </c>
      <c r="V127" t="str">
        <f t="shared" si="5"/>
        <v>PASS</v>
      </c>
    </row>
    <row r="128" spans="1:2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  <c r="T128">
        <f t="shared" si="3"/>
        <v>375</v>
      </c>
      <c r="U128">
        <f t="shared" si="4"/>
        <v>93.75</v>
      </c>
      <c r="V128" t="str">
        <f t="shared" si="5"/>
        <v>PASS</v>
      </c>
    </row>
    <row r="129" spans="1:2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  <c r="T129">
        <f t="shared" si="3"/>
        <v>244</v>
      </c>
      <c r="U129">
        <f t="shared" si="4"/>
        <v>61</v>
      </c>
      <c r="V129" t="str">
        <f t="shared" si="5"/>
        <v>PASS</v>
      </c>
    </row>
    <row r="130" spans="1:2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  <c r="T130">
        <f t="shared" si="3"/>
        <v>204</v>
      </c>
      <c r="U130">
        <f t="shared" si="4"/>
        <v>51</v>
      </c>
      <c r="V130" t="str">
        <f t="shared" si="5"/>
        <v>PASS</v>
      </c>
    </row>
    <row r="131" spans="1:2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  <c r="T131">
        <f t="shared" ref="T131:T194" si="6">G131+H131+I131+J131</f>
        <v>191</v>
      </c>
      <c r="U131">
        <f t="shared" ref="U131:U194" si="7">ROUND(T131/400*100,2)</f>
        <v>47.75</v>
      </c>
      <c r="V131" t="str">
        <f t="shared" ref="V131:V194" si="8">IF(AND(G131&gt;=35,H131&gt;=35,I131&gt;=35,J131&gt;=35,K131&gt;=75),"PASS","FAIL")</f>
        <v>FAIL</v>
      </c>
    </row>
    <row r="132" spans="1:2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  <c r="T132">
        <f t="shared" si="6"/>
        <v>93</v>
      </c>
      <c r="U132">
        <f t="shared" si="7"/>
        <v>23.25</v>
      </c>
      <c r="V132" t="str">
        <f t="shared" si="8"/>
        <v>FAIL</v>
      </c>
    </row>
    <row r="133" spans="1:2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  <c r="T133">
        <f t="shared" si="6"/>
        <v>190</v>
      </c>
      <c r="U133">
        <f t="shared" si="7"/>
        <v>47.5</v>
      </c>
      <c r="V133" t="str">
        <f t="shared" si="8"/>
        <v>PASS</v>
      </c>
    </row>
    <row r="134" spans="1:2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  <c r="T134">
        <f t="shared" si="6"/>
        <v>190</v>
      </c>
      <c r="U134">
        <f t="shared" si="7"/>
        <v>47.5</v>
      </c>
      <c r="V134" t="str">
        <f t="shared" si="8"/>
        <v>FAIL</v>
      </c>
    </row>
    <row r="135" spans="1:2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  <c r="T135">
        <f t="shared" si="6"/>
        <v>270</v>
      </c>
      <c r="U135">
        <f t="shared" si="7"/>
        <v>67.5</v>
      </c>
      <c r="V135" t="str">
        <f t="shared" si="8"/>
        <v>FAIL</v>
      </c>
    </row>
    <row r="136" spans="1:2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  <c r="T136">
        <f t="shared" si="6"/>
        <v>186</v>
      </c>
      <c r="U136">
        <f t="shared" si="7"/>
        <v>46.5</v>
      </c>
      <c r="V136" t="str">
        <f t="shared" si="8"/>
        <v>FAIL</v>
      </c>
    </row>
    <row r="137" spans="1:2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  <c r="T137">
        <f t="shared" si="6"/>
        <v>235</v>
      </c>
      <c r="U137">
        <f t="shared" si="7"/>
        <v>58.75</v>
      </c>
      <c r="V137" t="str">
        <f t="shared" si="8"/>
        <v>PASS</v>
      </c>
    </row>
    <row r="138" spans="1:2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  <c r="T138">
        <f t="shared" si="6"/>
        <v>268</v>
      </c>
      <c r="U138">
        <f t="shared" si="7"/>
        <v>67</v>
      </c>
      <c r="V138" t="str">
        <f t="shared" si="8"/>
        <v>PASS</v>
      </c>
    </row>
    <row r="139" spans="1:2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  <c r="T139">
        <f t="shared" si="6"/>
        <v>221</v>
      </c>
      <c r="U139">
        <f t="shared" si="7"/>
        <v>55.25</v>
      </c>
      <c r="V139" t="str">
        <f t="shared" si="8"/>
        <v>PASS</v>
      </c>
    </row>
    <row r="140" spans="1:2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  <c r="T140">
        <f t="shared" si="6"/>
        <v>253</v>
      </c>
      <c r="U140">
        <f t="shared" si="7"/>
        <v>63.25</v>
      </c>
      <c r="V140" t="str">
        <f t="shared" si="8"/>
        <v>PASS</v>
      </c>
    </row>
    <row r="141" spans="1:2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  <c r="T141">
        <f t="shared" si="6"/>
        <v>293</v>
      </c>
      <c r="U141">
        <f t="shared" si="7"/>
        <v>73.25</v>
      </c>
      <c r="V141" t="str">
        <f t="shared" si="8"/>
        <v>PASS</v>
      </c>
    </row>
    <row r="142" spans="1:2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  <c r="T142">
        <f t="shared" si="6"/>
        <v>271</v>
      </c>
      <c r="U142">
        <f t="shared" si="7"/>
        <v>67.75</v>
      </c>
      <c r="V142" t="str">
        <f t="shared" si="8"/>
        <v>PASS</v>
      </c>
    </row>
    <row r="143" spans="1:2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  <c r="T143">
        <f t="shared" si="6"/>
        <v>213</v>
      </c>
      <c r="U143">
        <f t="shared" si="7"/>
        <v>53.25</v>
      </c>
      <c r="V143" t="str">
        <f t="shared" si="8"/>
        <v>PASS</v>
      </c>
    </row>
    <row r="144" spans="1:2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  <c r="T144">
        <f t="shared" si="6"/>
        <v>304</v>
      </c>
      <c r="U144">
        <f t="shared" si="7"/>
        <v>76</v>
      </c>
      <c r="V144" t="str">
        <f t="shared" si="8"/>
        <v>PASS</v>
      </c>
    </row>
    <row r="145" spans="1:2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  <c r="T145">
        <f t="shared" si="6"/>
        <v>346</v>
      </c>
      <c r="U145">
        <f t="shared" si="7"/>
        <v>86.5</v>
      </c>
      <c r="V145" t="str">
        <f t="shared" si="8"/>
        <v>FAIL</v>
      </c>
    </row>
    <row r="146" spans="1:2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  <c r="T146">
        <f t="shared" si="6"/>
        <v>250</v>
      </c>
      <c r="U146">
        <f t="shared" si="7"/>
        <v>62.5</v>
      </c>
      <c r="V146" t="str">
        <f t="shared" si="8"/>
        <v>PASS</v>
      </c>
    </row>
    <row r="147" spans="1:2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  <c r="T147">
        <f t="shared" si="6"/>
        <v>318</v>
      </c>
      <c r="U147">
        <f t="shared" si="7"/>
        <v>79.5</v>
      </c>
      <c r="V147" t="str">
        <f t="shared" si="8"/>
        <v>PASS</v>
      </c>
    </row>
    <row r="148" spans="1:2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  <c r="T148">
        <f t="shared" si="6"/>
        <v>186</v>
      </c>
      <c r="U148">
        <f t="shared" si="7"/>
        <v>46.5</v>
      </c>
      <c r="V148" t="str">
        <f t="shared" si="8"/>
        <v>PASS</v>
      </c>
    </row>
    <row r="149" spans="1:2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  <c r="T149">
        <f t="shared" si="6"/>
        <v>255</v>
      </c>
      <c r="U149">
        <f t="shared" si="7"/>
        <v>63.75</v>
      </c>
      <c r="V149" t="str">
        <f t="shared" si="8"/>
        <v>FAIL</v>
      </c>
    </row>
    <row r="150" spans="1:2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  <c r="T150">
        <f t="shared" si="6"/>
        <v>197</v>
      </c>
      <c r="U150">
        <f t="shared" si="7"/>
        <v>49.25</v>
      </c>
      <c r="V150" t="str">
        <f t="shared" si="8"/>
        <v>FAIL</v>
      </c>
    </row>
    <row r="151" spans="1:2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  <c r="T151">
        <f t="shared" si="6"/>
        <v>233</v>
      </c>
      <c r="U151">
        <f t="shared" si="7"/>
        <v>58.25</v>
      </c>
      <c r="V151" t="str">
        <f t="shared" si="8"/>
        <v>FAIL</v>
      </c>
    </row>
    <row r="152" spans="1:2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  <c r="T152">
        <f t="shared" si="6"/>
        <v>269</v>
      </c>
      <c r="U152">
        <f t="shared" si="7"/>
        <v>67.25</v>
      </c>
      <c r="V152" t="str">
        <f t="shared" si="8"/>
        <v>PASS</v>
      </c>
    </row>
    <row r="153" spans="1:2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  <c r="T153">
        <f t="shared" si="6"/>
        <v>300</v>
      </c>
      <c r="U153">
        <f t="shared" si="7"/>
        <v>75</v>
      </c>
      <c r="V153" t="str">
        <f t="shared" si="8"/>
        <v>FAIL</v>
      </c>
    </row>
    <row r="154" spans="1:2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  <c r="T154">
        <f t="shared" si="6"/>
        <v>197</v>
      </c>
      <c r="U154">
        <f t="shared" si="7"/>
        <v>49.25</v>
      </c>
      <c r="V154" t="str">
        <f t="shared" si="8"/>
        <v>PASS</v>
      </c>
    </row>
    <row r="155" spans="1:2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  <c r="T155">
        <f t="shared" si="6"/>
        <v>253</v>
      </c>
      <c r="U155">
        <f t="shared" si="7"/>
        <v>63.25</v>
      </c>
      <c r="V155" t="str">
        <f t="shared" si="8"/>
        <v>PASS</v>
      </c>
    </row>
    <row r="156" spans="1:2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  <c r="T156">
        <f t="shared" si="6"/>
        <v>118</v>
      </c>
      <c r="U156">
        <f t="shared" si="7"/>
        <v>29.5</v>
      </c>
      <c r="V156" t="str">
        <f t="shared" si="8"/>
        <v>FAIL</v>
      </c>
    </row>
    <row r="157" spans="1:2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  <c r="T157">
        <f t="shared" si="6"/>
        <v>158</v>
      </c>
      <c r="U157">
        <f t="shared" si="7"/>
        <v>39.5</v>
      </c>
      <c r="V157" t="str">
        <f t="shared" si="8"/>
        <v>FAIL</v>
      </c>
    </row>
    <row r="158" spans="1:2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  <c r="T158">
        <f t="shared" si="6"/>
        <v>335</v>
      </c>
      <c r="U158">
        <f t="shared" si="7"/>
        <v>83.75</v>
      </c>
      <c r="V158" t="str">
        <f t="shared" si="8"/>
        <v>PASS</v>
      </c>
    </row>
    <row r="159" spans="1:2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  <c r="T159">
        <f t="shared" si="6"/>
        <v>226</v>
      </c>
      <c r="U159">
        <f t="shared" si="7"/>
        <v>56.5</v>
      </c>
      <c r="V159" t="str">
        <f t="shared" si="8"/>
        <v>FAIL</v>
      </c>
    </row>
    <row r="160" spans="1:2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  <c r="T160">
        <f t="shared" si="6"/>
        <v>237</v>
      </c>
      <c r="U160">
        <f t="shared" si="7"/>
        <v>59.25</v>
      </c>
      <c r="V160" t="str">
        <f t="shared" si="8"/>
        <v>PASS</v>
      </c>
    </row>
    <row r="161" spans="1:2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  <c r="T161">
        <f t="shared" si="6"/>
        <v>249</v>
      </c>
      <c r="U161">
        <f t="shared" si="7"/>
        <v>62.25</v>
      </c>
      <c r="V161" t="str">
        <f t="shared" si="8"/>
        <v>FAIL</v>
      </c>
    </row>
    <row r="162" spans="1:2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  <c r="T162">
        <f t="shared" si="6"/>
        <v>298</v>
      </c>
      <c r="U162">
        <f t="shared" si="7"/>
        <v>74.5</v>
      </c>
      <c r="V162" t="str">
        <f t="shared" si="8"/>
        <v>PASS</v>
      </c>
    </row>
    <row r="163" spans="1:2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  <c r="T163">
        <f t="shared" si="6"/>
        <v>261</v>
      </c>
      <c r="U163">
        <f t="shared" si="7"/>
        <v>65.25</v>
      </c>
      <c r="V163" t="str">
        <f t="shared" si="8"/>
        <v>PASS</v>
      </c>
    </row>
    <row r="164" spans="1:2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  <c r="T164">
        <f t="shared" si="6"/>
        <v>158</v>
      </c>
      <c r="U164">
        <f t="shared" si="7"/>
        <v>39.5</v>
      </c>
      <c r="V164" t="str">
        <f t="shared" si="8"/>
        <v>FAIL</v>
      </c>
    </row>
    <row r="165" spans="1:2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  <c r="T165">
        <f t="shared" si="6"/>
        <v>221</v>
      </c>
      <c r="U165">
        <f t="shared" si="7"/>
        <v>55.25</v>
      </c>
      <c r="V165" t="str">
        <f t="shared" si="8"/>
        <v>FAIL</v>
      </c>
    </row>
    <row r="166" spans="1:2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  <c r="T166">
        <f t="shared" si="6"/>
        <v>222</v>
      </c>
      <c r="U166">
        <f t="shared" si="7"/>
        <v>55.5</v>
      </c>
      <c r="V166" t="str">
        <f t="shared" si="8"/>
        <v>PASS</v>
      </c>
    </row>
    <row r="167" spans="1:2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  <c r="T167">
        <f t="shared" si="6"/>
        <v>138</v>
      </c>
      <c r="U167">
        <f t="shared" si="7"/>
        <v>34.5</v>
      </c>
      <c r="V167" t="str">
        <f t="shared" si="8"/>
        <v>FAIL</v>
      </c>
    </row>
    <row r="168" spans="1:2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  <c r="T168">
        <f t="shared" si="6"/>
        <v>299</v>
      </c>
      <c r="U168">
        <f t="shared" si="7"/>
        <v>74.75</v>
      </c>
      <c r="V168" t="str">
        <f t="shared" si="8"/>
        <v>PASS</v>
      </c>
    </row>
    <row r="169" spans="1:2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  <c r="T169">
        <f t="shared" si="6"/>
        <v>133</v>
      </c>
      <c r="U169">
        <f t="shared" si="7"/>
        <v>33.25</v>
      </c>
      <c r="V169" t="str">
        <f t="shared" si="8"/>
        <v>FAIL</v>
      </c>
    </row>
    <row r="170" spans="1:2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  <c r="T170">
        <f t="shared" si="6"/>
        <v>284</v>
      </c>
      <c r="U170">
        <f t="shared" si="7"/>
        <v>71</v>
      </c>
      <c r="V170" t="str">
        <f t="shared" si="8"/>
        <v>PASS</v>
      </c>
    </row>
    <row r="171" spans="1:2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  <c r="T171">
        <f t="shared" si="6"/>
        <v>275</v>
      </c>
      <c r="U171">
        <f t="shared" si="7"/>
        <v>68.75</v>
      </c>
      <c r="V171" t="str">
        <f t="shared" si="8"/>
        <v>PASS</v>
      </c>
    </row>
    <row r="172" spans="1:2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  <c r="T172">
        <f t="shared" si="6"/>
        <v>248</v>
      </c>
      <c r="U172">
        <f t="shared" si="7"/>
        <v>62</v>
      </c>
      <c r="V172" t="str">
        <f t="shared" si="8"/>
        <v>PASS</v>
      </c>
    </row>
    <row r="173" spans="1:2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  <c r="T173">
        <f t="shared" si="6"/>
        <v>132</v>
      </c>
      <c r="U173">
        <f t="shared" si="7"/>
        <v>33</v>
      </c>
      <c r="V173" t="str">
        <f t="shared" si="8"/>
        <v>FAIL</v>
      </c>
    </row>
    <row r="174" spans="1:2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  <c r="T174">
        <f t="shared" si="6"/>
        <v>262</v>
      </c>
      <c r="U174">
        <f t="shared" si="7"/>
        <v>65.5</v>
      </c>
      <c r="V174" t="str">
        <f t="shared" si="8"/>
        <v>PASS</v>
      </c>
    </row>
    <row r="175" spans="1:2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  <c r="T175">
        <f t="shared" si="6"/>
        <v>302</v>
      </c>
      <c r="U175">
        <f t="shared" si="7"/>
        <v>75.5</v>
      </c>
      <c r="V175" t="str">
        <f t="shared" si="8"/>
        <v>PASS</v>
      </c>
    </row>
    <row r="176" spans="1:2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  <c r="T176">
        <f t="shared" si="6"/>
        <v>341</v>
      </c>
      <c r="U176">
        <f t="shared" si="7"/>
        <v>85.25</v>
      </c>
      <c r="V176" t="str">
        <f t="shared" si="8"/>
        <v>PASS</v>
      </c>
    </row>
    <row r="177" spans="1:2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  <c r="T177">
        <f t="shared" si="6"/>
        <v>252</v>
      </c>
      <c r="U177">
        <f t="shared" si="7"/>
        <v>63</v>
      </c>
      <c r="V177" t="str">
        <f t="shared" si="8"/>
        <v>PASS</v>
      </c>
    </row>
    <row r="178" spans="1:2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  <c r="T178">
        <f t="shared" si="6"/>
        <v>214</v>
      </c>
      <c r="U178">
        <f t="shared" si="7"/>
        <v>53.5</v>
      </c>
      <c r="V178" t="str">
        <f t="shared" si="8"/>
        <v>FAIL</v>
      </c>
    </row>
    <row r="179" spans="1:2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  <c r="T179">
        <f t="shared" si="6"/>
        <v>206</v>
      </c>
      <c r="U179">
        <f t="shared" si="7"/>
        <v>51.5</v>
      </c>
      <c r="V179" t="str">
        <f t="shared" si="8"/>
        <v>PASS</v>
      </c>
    </row>
    <row r="180" spans="1:2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  <c r="T180">
        <f t="shared" si="6"/>
        <v>230</v>
      </c>
      <c r="U180">
        <f t="shared" si="7"/>
        <v>57.5</v>
      </c>
      <c r="V180" t="str">
        <f t="shared" si="8"/>
        <v>PASS</v>
      </c>
    </row>
    <row r="181" spans="1:2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  <c r="T181">
        <f t="shared" si="6"/>
        <v>291</v>
      </c>
      <c r="U181">
        <f t="shared" si="7"/>
        <v>72.75</v>
      </c>
      <c r="V181" t="str">
        <f t="shared" si="8"/>
        <v>PASS</v>
      </c>
    </row>
    <row r="182" spans="1:2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  <c r="T182">
        <f t="shared" si="6"/>
        <v>142</v>
      </c>
      <c r="U182">
        <f t="shared" si="7"/>
        <v>35.5</v>
      </c>
      <c r="V182" t="str">
        <f t="shared" si="8"/>
        <v>FAIL</v>
      </c>
    </row>
    <row r="183" spans="1:2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  <c r="T183">
        <f t="shared" si="6"/>
        <v>249</v>
      </c>
      <c r="U183">
        <f t="shared" si="7"/>
        <v>62.25</v>
      </c>
      <c r="V183" t="str">
        <f t="shared" si="8"/>
        <v>PASS</v>
      </c>
    </row>
    <row r="184" spans="1:2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  <c r="T184">
        <f t="shared" si="6"/>
        <v>199</v>
      </c>
      <c r="U184">
        <f t="shared" si="7"/>
        <v>49.75</v>
      </c>
      <c r="V184" t="str">
        <f t="shared" si="8"/>
        <v>FAIL</v>
      </c>
    </row>
    <row r="185" spans="1:2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  <c r="T185">
        <f t="shared" si="6"/>
        <v>175</v>
      </c>
      <c r="U185">
        <f t="shared" si="7"/>
        <v>43.75</v>
      </c>
      <c r="V185" t="str">
        <f t="shared" si="8"/>
        <v>FAIL</v>
      </c>
    </row>
    <row r="186" spans="1:2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  <c r="T186">
        <f t="shared" si="6"/>
        <v>194</v>
      </c>
      <c r="U186">
        <f t="shared" si="7"/>
        <v>48.5</v>
      </c>
      <c r="V186" t="str">
        <f t="shared" si="8"/>
        <v>FAIL</v>
      </c>
    </row>
    <row r="187" spans="1:2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  <c r="T187">
        <f t="shared" si="6"/>
        <v>98</v>
      </c>
      <c r="U187">
        <f t="shared" si="7"/>
        <v>24.5</v>
      </c>
      <c r="V187" t="str">
        <f t="shared" si="8"/>
        <v>FAIL</v>
      </c>
    </row>
    <row r="188" spans="1:2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  <c r="T188">
        <f t="shared" si="6"/>
        <v>154</v>
      </c>
      <c r="U188">
        <f t="shared" si="7"/>
        <v>38.5</v>
      </c>
      <c r="V188" t="str">
        <f t="shared" si="8"/>
        <v>FAIL</v>
      </c>
    </row>
    <row r="189" spans="1:2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  <c r="T189">
        <f t="shared" si="6"/>
        <v>246</v>
      </c>
      <c r="U189">
        <f t="shared" si="7"/>
        <v>61.5</v>
      </c>
      <c r="V189" t="str">
        <f t="shared" si="8"/>
        <v>FAIL</v>
      </c>
    </row>
    <row r="190" spans="1:2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  <c r="T190">
        <f t="shared" si="6"/>
        <v>279</v>
      </c>
      <c r="U190">
        <f t="shared" si="7"/>
        <v>69.75</v>
      </c>
      <c r="V190" t="str">
        <f t="shared" si="8"/>
        <v>PASS</v>
      </c>
    </row>
    <row r="191" spans="1:2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  <c r="T191">
        <f t="shared" si="6"/>
        <v>327</v>
      </c>
      <c r="U191">
        <f t="shared" si="7"/>
        <v>81.75</v>
      </c>
      <c r="V191" t="str">
        <f t="shared" si="8"/>
        <v>PASS</v>
      </c>
    </row>
    <row r="192" spans="1:2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  <c r="T192">
        <f t="shared" si="6"/>
        <v>261</v>
      </c>
      <c r="U192">
        <f t="shared" si="7"/>
        <v>65.25</v>
      </c>
      <c r="V192" t="str">
        <f t="shared" si="8"/>
        <v>PASS</v>
      </c>
    </row>
    <row r="193" spans="1:2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  <c r="T193">
        <f t="shared" si="6"/>
        <v>276</v>
      </c>
      <c r="U193">
        <f t="shared" si="7"/>
        <v>69</v>
      </c>
      <c r="V193" t="str">
        <f t="shared" si="8"/>
        <v>PASS</v>
      </c>
    </row>
    <row r="194" spans="1:2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  <c r="T194">
        <f t="shared" si="6"/>
        <v>371</v>
      </c>
      <c r="U194">
        <f t="shared" si="7"/>
        <v>92.75</v>
      </c>
      <c r="V194" t="str">
        <f t="shared" si="8"/>
        <v>PASS</v>
      </c>
    </row>
    <row r="195" spans="1:2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  <c r="T195">
        <f t="shared" ref="T195:T251" si="9">G195+H195+I195+J195</f>
        <v>277</v>
      </c>
      <c r="U195">
        <f t="shared" ref="U195:U251" si="10">ROUND(T195/400*100,2)</f>
        <v>69.25</v>
      </c>
      <c r="V195" t="str">
        <f t="shared" ref="V195:V251" si="11">IF(AND(G195&gt;=35,H195&gt;=35,I195&gt;=35,J195&gt;=35,K195&gt;=75),"PASS","FAIL")</f>
        <v>FAIL</v>
      </c>
    </row>
    <row r="196" spans="1:2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  <c r="T196">
        <f t="shared" si="9"/>
        <v>234</v>
      </c>
      <c r="U196">
        <f t="shared" si="10"/>
        <v>58.5</v>
      </c>
      <c r="V196" t="str">
        <f t="shared" si="11"/>
        <v>FAIL</v>
      </c>
    </row>
    <row r="197" spans="1:2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  <c r="T197">
        <f t="shared" si="9"/>
        <v>309</v>
      </c>
      <c r="U197">
        <f t="shared" si="10"/>
        <v>77.25</v>
      </c>
      <c r="V197" t="str">
        <f t="shared" si="11"/>
        <v>PASS</v>
      </c>
    </row>
    <row r="198" spans="1:2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  <c r="T198">
        <f t="shared" si="9"/>
        <v>178</v>
      </c>
      <c r="U198">
        <f t="shared" si="10"/>
        <v>44.5</v>
      </c>
      <c r="V198" t="str">
        <f t="shared" si="11"/>
        <v>FAIL</v>
      </c>
    </row>
    <row r="199" spans="1:2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  <c r="T199">
        <f t="shared" si="9"/>
        <v>190</v>
      </c>
      <c r="U199">
        <f t="shared" si="10"/>
        <v>47.5</v>
      </c>
      <c r="V199" t="str">
        <f t="shared" si="11"/>
        <v>FAIL</v>
      </c>
    </row>
    <row r="200" spans="1:2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  <c r="T200">
        <f t="shared" si="9"/>
        <v>198</v>
      </c>
      <c r="U200">
        <f t="shared" si="10"/>
        <v>49.5</v>
      </c>
      <c r="V200" t="str">
        <f t="shared" si="11"/>
        <v>PASS</v>
      </c>
    </row>
    <row r="201" spans="1:2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  <c r="T201">
        <f t="shared" si="9"/>
        <v>262</v>
      </c>
      <c r="U201">
        <f t="shared" si="10"/>
        <v>65.5</v>
      </c>
      <c r="V201" t="str">
        <f t="shared" si="11"/>
        <v>PASS</v>
      </c>
    </row>
    <row r="202" spans="1:2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  <c r="T202">
        <f t="shared" si="9"/>
        <v>310</v>
      </c>
      <c r="U202">
        <f t="shared" si="10"/>
        <v>77.5</v>
      </c>
      <c r="V202" t="str">
        <f t="shared" si="11"/>
        <v>PASS</v>
      </c>
    </row>
    <row r="203" spans="1:2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  <c r="T203">
        <f t="shared" si="9"/>
        <v>222</v>
      </c>
      <c r="U203">
        <f t="shared" si="10"/>
        <v>55.5</v>
      </c>
      <c r="V203" t="str">
        <f t="shared" si="11"/>
        <v>FAIL</v>
      </c>
    </row>
    <row r="204" spans="1:2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  <c r="T204">
        <f t="shared" si="9"/>
        <v>233</v>
      </c>
      <c r="U204">
        <f t="shared" si="10"/>
        <v>58.25</v>
      </c>
      <c r="V204" t="str">
        <f t="shared" si="11"/>
        <v>PASS</v>
      </c>
    </row>
    <row r="205" spans="1:2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  <c r="T205">
        <f t="shared" si="9"/>
        <v>253</v>
      </c>
      <c r="U205">
        <f t="shared" si="10"/>
        <v>63.25</v>
      </c>
      <c r="V205" t="str">
        <f t="shared" si="11"/>
        <v>PASS</v>
      </c>
    </row>
    <row r="206" spans="1:2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  <c r="T206">
        <f t="shared" si="9"/>
        <v>265</v>
      </c>
      <c r="U206">
        <f t="shared" si="10"/>
        <v>66.25</v>
      </c>
      <c r="V206" t="str">
        <f t="shared" si="11"/>
        <v>FAIL</v>
      </c>
    </row>
    <row r="207" spans="1:2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  <c r="T207">
        <f t="shared" si="9"/>
        <v>248</v>
      </c>
      <c r="U207">
        <f t="shared" si="10"/>
        <v>62</v>
      </c>
      <c r="V207" t="str">
        <f t="shared" si="11"/>
        <v>FAIL</v>
      </c>
    </row>
    <row r="208" spans="1:2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  <c r="T208">
        <f t="shared" si="9"/>
        <v>278</v>
      </c>
      <c r="U208">
        <f t="shared" si="10"/>
        <v>69.5</v>
      </c>
      <c r="V208" t="str">
        <f t="shared" si="11"/>
        <v>PASS</v>
      </c>
    </row>
    <row r="209" spans="1:2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  <c r="T209">
        <f t="shared" si="9"/>
        <v>126</v>
      </c>
      <c r="U209">
        <f t="shared" si="10"/>
        <v>31.5</v>
      </c>
      <c r="V209" t="str">
        <f t="shared" si="11"/>
        <v>FAIL</v>
      </c>
    </row>
    <row r="210" spans="1:2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  <c r="T210">
        <f t="shared" si="9"/>
        <v>272</v>
      </c>
      <c r="U210">
        <f t="shared" si="10"/>
        <v>68</v>
      </c>
      <c r="V210" t="str">
        <f t="shared" si="11"/>
        <v>FAIL</v>
      </c>
    </row>
    <row r="211" spans="1:2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  <c r="T211">
        <f t="shared" si="9"/>
        <v>300</v>
      </c>
      <c r="U211">
        <f t="shared" si="10"/>
        <v>75</v>
      </c>
      <c r="V211" t="str">
        <f t="shared" si="11"/>
        <v>PASS</v>
      </c>
    </row>
    <row r="212" spans="1:2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  <c r="T212">
        <f t="shared" si="9"/>
        <v>219</v>
      </c>
      <c r="U212">
        <f t="shared" si="10"/>
        <v>54.75</v>
      </c>
      <c r="V212" t="str">
        <f t="shared" si="11"/>
        <v>FAIL</v>
      </c>
    </row>
    <row r="213" spans="1:2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  <c r="T213">
        <f t="shared" si="9"/>
        <v>298</v>
      </c>
      <c r="U213">
        <f t="shared" si="10"/>
        <v>74.5</v>
      </c>
      <c r="V213" t="str">
        <f t="shared" si="11"/>
        <v>PASS</v>
      </c>
    </row>
    <row r="214" spans="1:2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  <c r="T214">
        <f t="shared" si="9"/>
        <v>178</v>
      </c>
      <c r="U214">
        <f t="shared" si="10"/>
        <v>44.5</v>
      </c>
      <c r="V214" t="str">
        <f t="shared" si="11"/>
        <v>PASS</v>
      </c>
    </row>
    <row r="215" spans="1:2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  <c r="T215">
        <f t="shared" si="9"/>
        <v>301</v>
      </c>
      <c r="U215">
        <f t="shared" si="10"/>
        <v>75.25</v>
      </c>
      <c r="V215" t="str">
        <f t="shared" si="11"/>
        <v>PASS</v>
      </c>
    </row>
    <row r="216" spans="1:2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  <c r="T216">
        <f t="shared" si="9"/>
        <v>303</v>
      </c>
      <c r="U216">
        <f t="shared" si="10"/>
        <v>75.75</v>
      </c>
      <c r="V216" t="str">
        <f t="shared" si="11"/>
        <v>PASS</v>
      </c>
    </row>
    <row r="217" spans="1:2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  <c r="T217">
        <f t="shared" si="9"/>
        <v>183</v>
      </c>
      <c r="U217">
        <f t="shared" si="10"/>
        <v>45.75</v>
      </c>
      <c r="V217" t="str">
        <f t="shared" si="11"/>
        <v>FAIL</v>
      </c>
    </row>
    <row r="218" spans="1:2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  <c r="T218">
        <f t="shared" si="9"/>
        <v>151</v>
      </c>
      <c r="U218">
        <f t="shared" si="10"/>
        <v>37.75</v>
      </c>
      <c r="V218" t="str">
        <f t="shared" si="11"/>
        <v>FAIL</v>
      </c>
    </row>
    <row r="219" spans="1:2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  <c r="T219">
        <f t="shared" si="9"/>
        <v>325</v>
      </c>
      <c r="U219">
        <f t="shared" si="10"/>
        <v>81.25</v>
      </c>
      <c r="V219" t="str">
        <f t="shared" si="11"/>
        <v>PASS</v>
      </c>
    </row>
    <row r="220" spans="1:2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  <c r="T220">
        <f t="shared" si="9"/>
        <v>251</v>
      </c>
      <c r="U220">
        <f t="shared" si="10"/>
        <v>62.75</v>
      </c>
      <c r="V220" t="str">
        <f t="shared" si="11"/>
        <v>PASS</v>
      </c>
    </row>
    <row r="221" spans="1:2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  <c r="T221">
        <f t="shared" si="9"/>
        <v>210</v>
      </c>
      <c r="U221">
        <f t="shared" si="10"/>
        <v>52.5</v>
      </c>
      <c r="V221" t="str">
        <f t="shared" si="11"/>
        <v>FAIL</v>
      </c>
    </row>
    <row r="222" spans="1:2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  <c r="T222">
        <f t="shared" si="9"/>
        <v>227</v>
      </c>
      <c r="U222">
        <f t="shared" si="10"/>
        <v>56.75</v>
      </c>
      <c r="V222" t="str">
        <f t="shared" si="11"/>
        <v>FAIL</v>
      </c>
    </row>
    <row r="223" spans="1:2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  <c r="T223">
        <f t="shared" si="9"/>
        <v>229</v>
      </c>
      <c r="U223">
        <f t="shared" si="10"/>
        <v>57.25</v>
      </c>
      <c r="V223" t="str">
        <f t="shared" si="11"/>
        <v>PASS</v>
      </c>
    </row>
    <row r="224" spans="1:2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  <c r="T224">
        <f t="shared" si="9"/>
        <v>152</v>
      </c>
      <c r="U224">
        <f t="shared" si="10"/>
        <v>38</v>
      </c>
      <c r="V224" t="str">
        <f t="shared" si="11"/>
        <v>FAIL</v>
      </c>
    </row>
    <row r="225" spans="1:2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  <c r="T225">
        <f t="shared" si="9"/>
        <v>182</v>
      </c>
      <c r="U225">
        <f t="shared" si="10"/>
        <v>45.5</v>
      </c>
      <c r="V225" t="str">
        <f t="shared" si="11"/>
        <v>PASS</v>
      </c>
    </row>
    <row r="226" spans="1:2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  <c r="T226">
        <f t="shared" si="9"/>
        <v>173</v>
      </c>
      <c r="U226">
        <f t="shared" si="10"/>
        <v>43.25</v>
      </c>
      <c r="V226" t="str">
        <f t="shared" si="11"/>
        <v>FAIL</v>
      </c>
    </row>
    <row r="227" spans="1:2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  <c r="T227">
        <f t="shared" si="9"/>
        <v>262</v>
      </c>
      <c r="U227">
        <f t="shared" si="10"/>
        <v>65.5</v>
      </c>
      <c r="V227" t="str">
        <f t="shared" si="11"/>
        <v>PASS</v>
      </c>
    </row>
    <row r="228" spans="1:2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  <c r="T228">
        <f t="shared" si="9"/>
        <v>328</v>
      </c>
      <c r="U228">
        <f t="shared" si="10"/>
        <v>82</v>
      </c>
      <c r="V228" t="str">
        <f t="shared" si="11"/>
        <v>PASS</v>
      </c>
    </row>
    <row r="229" spans="1:2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  <c r="T229">
        <f t="shared" si="9"/>
        <v>351</v>
      </c>
      <c r="U229">
        <f t="shared" si="10"/>
        <v>87.75</v>
      </c>
      <c r="V229" t="str">
        <f t="shared" si="11"/>
        <v>FAIL</v>
      </c>
    </row>
    <row r="230" spans="1:2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  <c r="T230">
        <f t="shared" si="9"/>
        <v>169</v>
      </c>
      <c r="U230">
        <f t="shared" si="10"/>
        <v>42.25</v>
      </c>
      <c r="V230" t="str">
        <f t="shared" si="11"/>
        <v>FAIL</v>
      </c>
    </row>
    <row r="231" spans="1:2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  <c r="T231">
        <f t="shared" si="9"/>
        <v>241</v>
      </c>
      <c r="U231">
        <f t="shared" si="10"/>
        <v>60.25</v>
      </c>
      <c r="V231" t="str">
        <f t="shared" si="11"/>
        <v>PASS</v>
      </c>
    </row>
    <row r="232" spans="1:2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  <c r="T232">
        <f t="shared" si="9"/>
        <v>128</v>
      </c>
      <c r="U232">
        <f t="shared" si="10"/>
        <v>32</v>
      </c>
      <c r="V232" t="str">
        <f t="shared" si="11"/>
        <v>FAIL</v>
      </c>
    </row>
    <row r="233" spans="1:2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  <c r="T233">
        <f t="shared" si="9"/>
        <v>208</v>
      </c>
      <c r="U233">
        <f t="shared" si="10"/>
        <v>52</v>
      </c>
      <c r="V233" t="str">
        <f t="shared" si="11"/>
        <v>PASS</v>
      </c>
    </row>
    <row r="234" spans="1:2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  <c r="T234">
        <f t="shared" si="9"/>
        <v>269</v>
      </c>
      <c r="U234">
        <f t="shared" si="10"/>
        <v>67.25</v>
      </c>
      <c r="V234" t="str">
        <f t="shared" si="11"/>
        <v>PASS</v>
      </c>
    </row>
    <row r="235" spans="1:2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  <c r="T235">
        <f t="shared" si="9"/>
        <v>294</v>
      </c>
      <c r="U235">
        <f t="shared" si="10"/>
        <v>73.5</v>
      </c>
      <c r="V235" t="str">
        <f t="shared" si="11"/>
        <v>PASS</v>
      </c>
    </row>
    <row r="236" spans="1:2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  <c r="T236">
        <f t="shared" si="9"/>
        <v>165</v>
      </c>
      <c r="U236">
        <f t="shared" si="10"/>
        <v>41.25</v>
      </c>
      <c r="V236" t="str">
        <f t="shared" si="11"/>
        <v>FAIL</v>
      </c>
    </row>
    <row r="237" spans="1:2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  <c r="T237">
        <f t="shared" si="9"/>
        <v>264</v>
      </c>
      <c r="U237">
        <f t="shared" si="10"/>
        <v>66</v>
      </c>
      <c r="V237" t="str">
        <f t="shared" si="11"/>
        <v>FAIL</v>
      </c>
    </row>
    <row r="238" spans="1:2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  <c r="T238">
        <f t="shared" si="9"/>
        <v>335</v>
      </c>
      <c r="U238">
        <f t="shared" si="10"/>
        <v>83.75</v>
      </c>
      <c r="V238" t="str">
        <f t="shared" si="11"/>
        <v>PASS</v>
      </c>
    </row>
    <row r="239" spans="1:2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  <c r="T239">
        <f t="shared" si="9"/>
        <v>170</v>
      </c>
      <c r="U239">
        <f t="shared" si="10"/>
        <v>42.5</v>
      </c>
      <c r="V239" t="str">
        <f t="shared" si="11"/>
        <v>PASS</v>
      </c>
    </row>
    <row r="240" spans="1:2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  <c r="T240">
        <f t="shared" si="9"/>
        <v>262</v>
      </c>
      <c r="U240">
        <f t="shared" si="10"/>
        <v>65.5</v>
      </c>
      <c r="V240" t="str">
        <f t="shared" si="11"/>
        <v>FAIL</v>
      </c>
    </row>
    <row r="241" spans="1:2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  <c r="T241">
        <f t="shared" si="9"/>
        <v>195</v>
      </c>
      <c r="U241">
        <f t="shared" si="10"/>
        <v>48.75</v>
      </c>
      <c r="V241" t="str">
        <f t="shared" si="11"/>
        <v>PASS</v>
      </c>
    </row>
    <row r="242" spans="1:2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  <c r="T242">
        <f t="shared" si="9"/>
        <v>256</v>
      </c>
      <c r="U242">
        <f t="shared" si="10"/>
        <v>64</v>
      </c>
      <c r="V242" t="str">
        <f t="shared" si="11"/>
        <v>FAIL</v>
      </c>
    </row>
    <row r="243" spans="1:2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  <c r="T243">
        <f t="shared" si="9"/>
        <v>258</v>
      </c>
      <c r="U243">
        <f t="shared" si="10"/>
        <v>64.5</v>
      </c>
      <c r="V243" t="str">
        <f t="shared" si="11"/>
        <v>PASS</v>
      </c>
    </row>
    <row r="244" spans="1:2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  <c r="T244">
        <f t="shared" si="9"/>
        <v>288</v>
      </c>
      <c r="U244">
        <f t="shared" si="10"/>
        <v>72</v>
      </c>
      <c r="V244" t="str">
        <f t="shared" si="11"/>
        <v>FAIL</v>
      </c>
    </row>
    <row r="245" spans="1:2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  <c r="T245">
        <f t="shared" si="9"/>
        <v>184</v>
      </c>
      <c r="U245">
        <f t="shared" si="10"/>
        <v>46</v>
      </c>
      <c r="V245" t="str">
        <f t="shared" si="11"/>
        <v>FAIL</v>
      </c>
    </row>
    <row r="246" spans="1:2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  <c r="T246">
        <f t="shared" si="9"/>
        <v>268</v>
      </c>
      <c r="U246">
        <f t="shared" si="10"/>
        <v>67</v>
      </c>
      <c r="V246" t="str">
        <f t="shared" si="11"/>
        <v>FAIL</v>
      </c>
    </row>
    <row r="247" spans="1:2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  <c r="T247">
        <f t="shared" si="9"/>
        <v>196</v>
      </c>
      <c r="U247">
        <f t="shared" si="10"/>
        <v>49</v>
      </c>
      <c r="V247" t="str">
        <f t="shared" si="11"/>
        <v>FAIL</v>
      </c>
    </row>
    <row r="248" spans="1:2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  <c r="T248">
        <f t="shared" si="9"/>
        <v>233</v>
      </c>
      <c r="U248">
        <f t="shared" si="10"/>
        <v>58.25</v>
      </c>
      <c r="V248" t="str">
        <f t="shared" si="11"/>
        <v>PASS</v>
      </c>
    </row>
    <row r="249" spans="1:2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  <c r="T249">
        <f t="shared" si="9"/>
        <v>300</v>
      </c>
      <c r="U249">
        <f t="shared" si="10"/>
        <v>75</v>
      </c>
      <c r="V249" t="str">
        <f t="shared" si="11"/>
        <v>PASS</v>
      </c>
    </row>
    <row r="250" spans="1:2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  <c r="T250">
        <f t="shared" si="9"/>
        <v>263</v>
      </c>
      <c r="U250">
        <f t="shared" si="10"/>
        <v>65.75</v>
      </c>
      <c r="V250" t="str">
        <f t="shared" si="11"/>
        <v>FAIL</v>
      </c>
    </row>
    <row r="251" spans="1:2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  <c r="T251">
        <f t="shared" si="9"/>
        <v>254</v>
      </c>
      <c r="U251">
        <f t="shared" si="10"/>
        <v>63.5</v>
      </c>
      <c r="V251" t="str">
        <f t="shared" si="11"/>
        <v>FAIL</v>
      </c>
    </row>
  </sheetData>
  <conditionalFormatting sqref="R19">
    <cfRule type="containsText" dxfId="0" priority="1" operator="containsText" text="&quot;PASS&quot;">
      <formula>NOT(ISERROR(SEARCH("""PASS""",R19)))</formula>
    </cfRule>
  </conditionalFormatting>
  <dataValidations count="1">
    <dataValidation type="list" allowBlank="1" showInputMessage="1" showErrorMessage="1" sqref="A2:A251 R11" xr:uid="{8BCFFEB1-546D-4A30-8F3F-71A4B33175F3}">
      <formula1>$A$2:$A$251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89C3-066F-4516-9EC9-B7C2619EBBC5}">
  <dimension ref="A1:R251"/>
  <sheetViews>
    <sheetView topLeftCell="E1" zoomScale="85" workbookViewId="0">
      <selection activeCell="Q14" sqref="Q14"/>
    </sheetView>
  </sheetViews>
  <sheetFormatPr defaultRowHeight="14.5" x14ac:dyDescent="0.35"/>
  <cols>
    <col min="1" max="1" width="9.7265625" bestFit="1" customWidth="1"/>
    <col min="2" max="2" width="14.36328125" bestFit="1" customWidth="1"/>
    <col min="3" max="3" width="10.26953125" bestFit="1" customWidth="1"/>
    <col min="4" max="4" width="7" bestFit="1" customWidth="1"/>
    <col min="5" max="5" width="10.54296875" bestFit="1" customWidth="1"/>
    <col min="6" max="6" width="14" customWidth="1"/>
    <col min="7" max="7" width="6.1796875" bestFit="1" customWidth="1"/>
    <col min="8" max="8" width="6.81640625" bestFit="1" customWidth="1"/>
    <col min="9" max="9" width="11.1796875" bestFit="1" customWidth="1"/>
    <col min="10" max="10" width="6.6328125" bestFit="1" customWidth="1"/>
    <col min="11" max="11" width="10.54296875" bestFit="1" customWidth="1"/>
    <col min="12" max="12" width="13.1796875" bestFit="1" customWidth="1"/>
    <col min="13" max="13" width="22" customWidth="1"/>
    <col min="14" max="14" width="5.90625" bestFit="1" customWidth="1"/>
    <col min="15" max="15" width="10.26953125" bestFit="1" customWidth="1"/>
    <col min="16" max="16" width="8" bestFit="1" customWidth="1"/>
  </cols>
  <sheetData>
    <row r="1" spans="1:18" ht="29" x14ac:dyDescent="0.3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8" t="s">
        <v>69</v>
      </c>
      <c r="N1" s="8" t="s">
        <v>70</v>
      </c>
      <c r="O1" s="8" t="s">
        <v>59</v>
      </c>
      <c r="P1" s="8" t="s">
        <v>71</v>
      </c>
    </row>
    <row r="2" spans="1:18" x14ac:dyDescent="0.35">
      <c r="A2" s="9" t="s">
        <v>72</v>
      </c>
      <c r="B2" s="9" t="s">
        <v>73</v>
      </c>
      <c r="C2" s="9" t="s">
        <v>74</v>
      </c>
      <c r="D2" s="9" t="s">
        <v>75</v>
      </c>
      <c r="E2" s="9" t="s">
        <v>76</v>
      </c>
      <c r="F2" s="10">
        <v>44727</v>
      </c>
      <c r="G2" s="9">
        <v>64</v>
      </c>
      <c r="H2" s="9">
        <v>55</v>
      </c>
      <c r="I2" s="9">
        <v>63</v>
      </c>
      <c r="J2" s="9">
        <v>52</v>
      </c>
      <c r="K2" s="9">
        <v>72</v>
      </c>
      <c r="L2" s="11">
        <v>0</v>
      </c>
      <c r="M2" s="12">
        <v>0</v>
      </c>
      <c r="N2" s="12" t="s">
        <v>77</v>
      </c>
      <c r="O2" s="12" t="s">
        <v>78</v>
      </c>
      <c r="P2" s="12" t="s">
        <v>79</v>
      </c>
    </row>
    <row r="3" spans="1:18" x14ac:dyDescent="0.35">
      <c r="A3" s="9" t="s">
        <v>80</v>
      </c>
      <c r="B3" s="9" t="s">
        <v>81</v>
      </c>
      <c r="C3" s="9" t="s">
        <v>74</v>
      </c>
      <c r="D3" s="9" t="s">
        <v>82</v>
      </c>
      <c r="E3" s="9" t="s">
        <v>83</v>
      </c>
      <c r="F3" s="10">
        <v>44730</v>
      </c>
      <c r="G3" s="9">
        <v>59</v>
      </c>
      <c r="H3" s="9">
        <v>62</v>
      </c>
      <c r="I3" s="9">
        <v>75</v>
      </c>
      <c r="J3" s="9">
        <v>73</v>
      </c>
      <c r="K3" s="9">
        <v>100</v>
      </c>
      <c r="L3" s="11">
        <v>0</v>
      </c>
      <c r="M3" s="12">
        <v>40</v>
      </c>
      <c r="N3" s="12" t="s">
        <v>84</v>
      </c>
      <c r="O3" s="12" t="s">
        <v>85</v>
      </c>
      <c r="P3" s="12" t="s">
        <v>86</v>
      </c>
    </row>
    <row r="4" spans="1:18" x14ac:dyDescent="0.35">
      <c r="A4" s="9" t="s">
        <v>87</v>
      </c>
      <c r="B4" s="9" t="s">
        <v>88</v>
      </c>
      <c r="C4" s="9" t="s">
        <v>89</v>
      </c>
      <c r="D4" s="9" t="s">
        <v>82</v>
      </c>
      <c r="E4" s="9" t="s">
        <v>76</v>
      </c>
      <c r="F4" s="10">
        <v>44734</v>
      </c>
      <c r="G4" s="9">
        <v>71</v>
      </c>
      <c r="H4" s="9">
        <v>67</v>
      </c>
      <c r="I4" s="9">
        <v>86</v>
      </c>
      <c r="J4" s="9">
        <v>69</v>
      </c>
      <c r="K4" s="9">
        <v>86</v>
      </c>
      <c r="L4" s="11">
        <v>20000</v>
      </c>
      <c r="M4" s="12">
        <v>50</v>
      </c>
      <c r="N4" s="12" t="s">
        <v>90</v>
      </c>
      <c r="O4" s="12" t="s">
        <v>74</v>
      </c>
      <c r="P4" s="12" t="s">
        <v>91</v>
      </c>
    </row>
    <row r="5" spans="1:18" x14ac:dyDescent="0.35">
      <c r="A5" s="9" t="s">
        <v>92</v>
      </c>
      <c r="B5" s="9" t="s">
        <v>93</v>
      </c>
      <c r="C5" s="9" t="s">
        <v>89</v>
      </c>
      <c r="D5" s="9" t="s">
        <v>82</v>
      </c>
      <c r="E5" s="9" t="s">
        <v>83</v>
      </c>
      <c r="F5" s="10">
        <v>44736</v>
      </c>
      <c r="G5" s="9">
        <v>62</v>
      </c>
      <c r="H5" s="9">
        <v>45</v>
      </c>
      <c r="I5" s="9">
        <v>55</v>
      </c>
      <c r="J5" s="9">
        <v>39</v>
      </c>
      <c r="K5" s="9">
        <v>90</v>
      </c>
      <c r="L5" s="11">
        <v>0</v>
      </c>
      <c r="M5" s="12">
        <v>60</v>
      </c>
      <c r="N5" s="12" t="s">
        <v>94</v>
      </c>
      <c r="O5" s="12" t="s">
        <v>95</v>
      </c>
      <c r="P5" s="12" t="s">
        <v>96</v>
      </c>
    </row>
    <row r="6" spans="1:18" x14ac:dyDescent="0.35">
      <c r="A6" s="9" t="s">
        <v>97</v>
      </c>
      <c r="B6" s="9" t="s">
        <v>98</v>
      </c>
      <c r="C6" s="9" t="s">
        <v>85</v>
      </c>
      <c r="D6" s="9" t="s">
        <v>82</v>
      </c>
      <c r="E6" s="9" t="s">
        <v>76</v>
      </c>
      <c r="F6" s="10">
        <v>44736</v>
      </c>
      <c r="G6" s="9">
        <v>72</v>
      </c>
      <c r="H6" s="9">
        <v>43</v>
      </c>
      <c r="I6" s="9">
        <v>63</v>
      </c>
      <c r="J6" s="9">
        <v>47</v>
      </c>
      <c r="K6" s="9">
        <v>75</v>
      </c>
      <c r="L6" s="11">
        <v>20000</v>
      </c>
      <c r="M6" s="12">
        <v>75</v>
      </c>
      <c r="N6" s="12" t="s">
        <v>99</v>
      </c>
      <c r="O6" s="12" t="s">
        <v>89</v>
      </c>
      <c r="P6" s="12" t="s">
        <v>100</v>
      </c>
    </row>
    <row r="7" spans="1:18" x14ac:dyDescent="0.35">
      <c r="A7" s="9" t="s">
        <v>101</v>
      </c>
      <c r="B7" s="9" t="s">
        <v>102</v>
      </c>
      <c r="C7" s="9" t="s">
        <v>89</v>
      </c>
      <c r="D7" s="9" t="s">
        <v>82</v>
      </c>
      <c r="E7" s="9" t="s">
        <v>83</v>
      </c>
      <c r="F7" s="10">
        <v>44737</v>
      </c>
      <c r="G7" s="9">
        <v>81</v>
      </c>
      <c r="H7" s="9">
        <v>87</v>
      </c>
      <c r="I7" s="9">
        <v>87</v>
      </c>
      <c r="J7" s="9">
        <v>76</v>
      </c>
      <c r="K7" s="9">
        <v>83</v>
      </c>
      <c r="L7" s="11">
        <v>0</v>
      </c>
      <c r="M7" s="12">
        <v>90</v>
      </c>
      <c r="N7" s="12" t="s">
        <v>103</v>
      </c>
    </row>
    <row r="8" spans="1:18" x14ac:dyDescent="0.35">
      <c r="A8" s="9" t="s">
        <v>104</v>
      </c>
      <c r="B8" s="9" t="s">
        <v>105</v>
      </c>
      <c r="C8" s="9" t="s">
        <v>89</v>
      </c>
      <c r="D8" s="9" t="s">
        <v>75</v>
      </c>
      <c r="E8" s="9" t="s">
        <v>83</v>
      </c>
      <c r="F8" s="10">
        <v>44737</v>
      </c>
      <c r="G8" s="9">
        <v>30</v>
      </c>
      <c r="H8" s="9">
        <v>55</v>
      </c>
      <c r="I8" s="9">
        <v>56</v>
      </c>
      <c r="J8" s="9">
        <v>43</v>
      </c>
      <c r="K8" s="9">
        <v>67</v>
      </c>
      <c r="L8" s="11">
        <v>0</v>
      </c>
    </row>
    <row r="9" spans="1:18" x14ac:dyDescent="0.35">
      <c r="A9" s="9" t="s">
        <v>106</v>
      </c>
      <c r="B9" s="9" t="s">
        <v>107</v>
      </c>
      <c r="C9" s="9" t="s">
        <v>74</v>
      </c>
      <c r="D9" s="9" t="s">
        <v>82</v>
      </c>
      <c r="E9" s="9" t="s">
        <v>76</v>
      </c>
      <c r="F9" s="10">
        <v>44738</v>
      </c>
      <c r="G9" s="9">
        <v>100</v>
      </c>
      <c r="H9" s="9">
        <v>82</v>
      </c>
      <c r="I9" s="9">
        <v>100</v>
      </c>
      <c r="J9" s="9">
        <v>96</v>
      </c>
      <c r="K9" s="9">
        <v>81</v>
      </c>
      <c r="L9" s="11">
        <v>0</v>
      </c>
      <c r="M9" s="13" t="s">
        <v>108</v>
      </c>
    </row>
    <row r="10" spans="1:18" x14ac:dyDescent="0.35">
      <c r="A10" s="9" t="s">
        <v>109</v>
      </c>
      <c r="B10" s="9" t="s">
        <v>110</v>
      </c>
      <c r="C10" s="9" t="s">
        <v>85</v>
      </c>
      <c r="D10" s="9" t="s">
        <v>75</v>
      </c>
      <c r="E10" s="9" t="s">
        <v>83</v>
      </c>
      <c r="F10" s="10">
        <v>44738</v>
      </c>
      <c r="G10" s="9">
        <v>75</v>
      </c>
      <c r="H10" s="9">
        <v>66</v>
      </c>
      <c r="I10" s="9">
        <v>78</v>
      </c>
      <c r="J10" s="9">
        <v>85</v>
      </c>
      <c r="K10" s="9">
        <v>67</v>
      </c>
      <c r="L10" s="11">
        <v>0</v>
      </c>
    </row>
    <row r="11" spans="1:18" x14ac:dyDescent="0.35">
      <c r="A11" s="9" t="s">
        <v>111</v>
      </c>
      <c r="B11" s="9" t="s">
        <v>112</v>
      </c>
      <c r="C11" s="9" t="s">
        <v>95</v>
      </c>
      <c r="D11" s="9" t="s">
        <v>82</v>
      </c>
      <c r="E11" s="9" t="s">
        <v>76</v>
      </c>
      <c r="F11" s="10">
        <v>44739</v>
      </c>
      <c r="G11" s="9">
        <v>84</v>
      </c>
      <c r="H11" s="9">
        <v>70</v>
      </c>
      <c r="I11" s="9">
        <v>60</v>
      </c>
      <c r="J11" s="9">
        <v>62</v>
      </c>
      <c r="K11" s="9">
        <v>84</v>
      </c>
      <c r="L11" s="11">
        <v>0</v>
      </c>
    </row>
    <row r="12" spans="1:18" x14ac:dyDescent="0.35">
      <c r="A12" s="9" t="s">
        <v>113</v>
      </c>
      <c r="B12" s="9" t="s">
        <v>114</v>
      </c>
      <c r="C12" s="9" t="s">
        <v>74</v>
      </c>
      <c r="D12" s="9" t="s">
        <v>82</v>
      </c>
      <c r="E12" s="9" t="s">
        <v>76</v>
      </c>
      <c r="F12" s="10">
        <v>44739</v>
      </c>
      <c r="G12" s="9">
        <v>51</v>
      </c>
      <c r="H12" s="9">
        <v>36</v>
      </c>
      <c r="I12" s="9">
        <v>54</v>
      </c>
      <c r="J12" s="9">
        <v>43</v>
      </c>
      <c r="K12" s="9">
        <v>84</v>
      </c>
      <c r="L12" s="11">
        <v>0</v>
      </c>
    </row>
    <row r="13" spans="1:18" ht="29" x14ac:dyDescent="0.35">
      <c r="A13" s="9" t="s">
        <v>115</v>
      </c>
      <c r="B13" s="9" t="s">
        <v>116</v>
      </c>
      <c r="C13" s="9" t="s">
        <v>89</v>
      </c>
      <c r="D13" s="9" t="s">
        <v>75</v>
      </c>
      <c r="E13" s="9" t="s">
        <v>83</v>
      </c>
      <c r="F13" s="10">
        <v>44740</v>
      </c>
      <c r="G13" s="9">
        <v>51</v>
      </c>
      <c r="H13" s="9">
        <v>42</v>
      </c>
      <c r="I13" s="9">
        <v>64</v>
      </c>
      <c r="J13" s="9">
        <v>64</v>
      </c>
      <c r="K13" s="9">
        <v>100</v>
      </c>
      <c r="L13" s="11">
        <v>0</v>
      </c>
      <c r="O13" s="7" t="s">
        <v>59</v>
      </c>
      <c r="P13" s="17" t="s">
        <v>540</v>
      </c>
      <c r="Q13" s="17" t="s">
        <v>541</v>
      </c>
      <c r="R13" s="17" t="s">
        <v>542</v>
      </c>
    </row>
    <row r="14" spans="1:18" x14ac:dyDescent="0.35">
      <c r="A14" s="9" t="s">
        <v>117</v>
      </c>
      <c r="B14" s="9" t="s">
        <v>118</v>
      </c>
      <c r="C14" s="9" t="s">
        <v>95</v>
      </c>
      <c r="D14" s="9" t="s">
        <v>82</v>
      </c>
      <c r="E14" s="9" t="s">
        <v>83</v>
      </c>
      <c r="F14" s="10">
        <v>44741</v>
      </c>
      <c r="G14" s="9">
        <v>97</v>
      </c>
      <c r="H14" s="9">
        <v>100</v>
      </c>
      <c r="I14" s="9">
        <v>87</v>
      </c>
      <c r="J14" s="9">
        <v>88</v>
      </c>
      <c r="K14" s="9">
        <v>69</v>
      </c>
      <c r="L14" s="11">
        <v>0</v>
      </c>
      <c r="O14" s="16" t="s">
        <v>78</v>
      </c>
      <c r="P14" s="18">
        <f>COUNTIFS(C2:C251,"CSE")</f>
        <v>81</v>
      </c>
      <c r="Q14" s="18">
        <f>ROUND(P14/P18,1)</f>
        <v>0.4</v>
      </c>
      <c r="R14" s="18">
        <f>P14/207*100</f>
        <v>39.130434782608695</v>
      </c>
    </row>
    <row r="15" spans="1:18" x14ac:dyDescent="0.35">
      <c r="A15" s="9" t="s">
        <v>119</v>
      </c>
      <c r="B15" s="9" t="s">
        <v>120</v>
      </c>
      <c r="C15" s="9" t="s">
        <v>89</v>
      </c>
      <c r="D15" s="9" t="s">
        <v>82</v>
      </c>
      <c r="E15" s="9" t="s">
        <v>83</v>
      </c>
      <c r="F15" s="10">
        <v>44742</v>
      </c>
      <c r="G15" s="9">
        <v>84</v>
      </c>
      <c r="H15" s="9">
        <v>69</v>
      </c>
      <c r="I15" s="9">
        <v>86</v>
      </c>
      <c r="J15" s="9">
        <v>90</v>
      </c>
      <c r="K15" s="9">
        <v>91</v>
      </c>
      <c r="L15" s="11">
        <v>30000</v>
      </c>
      <c r="O15" s="16" t="s">
        <v>85</v>
      </c>
      <c r="P15" s="18">
        <f>COUNTIFS(C2:C251,"ECE")</f>
        <v>45</v>
      </c>
      <c r="Q15" s="18">
        <f>ROUND(P15/P18,1)</f>
        <v>0.2</v>
      </c>
      <c r="R15" s="18">
        <f>P15/207*100</f>
        <v>21.739130434782609</v>
      </c>
    </row>
    <row r="16" spans="1:18" x14ac:dyDescent="0.35">
      <c r="A16" s="9" t="s">
        <v>121</v>
      </c>
      <c r="B16" s="9" t="s">
        <v>122</v>
      </c>
      <c r="C16" s="9" t="s">
        <v>78</v>
      </c>
      <c r="D16" s="9" t="s">
        <v>75</v>
      </c>
      <c r="E16" s="9" t="s">
        <v>76</v>
      </c>
      <c r="F16" s="10">
        <v>44742</v>
      </c>
      <c r="G16" s="9">
        <v>100</v>
      </c>
      <c r="H16" s="9">
        <v>96</v>
      </c>
      <c r="I16" s="9">
        <v>80</v>
      </c>
      <c r="J16" s="9">
        <v>69</v>
      </c>
      <c r="K16" s="9">
        <v>75</v>
      </c>
      <c r="L16" s="11">
        <v>20000</v>
      </c>
      <c r="O16" s="16" t="s">
        <v>74</v>
      </c>
      <c r="P16" s="18">
        <f>COUNTIFS(C2:C251,"Mechanical")</f>
        <v>50</v>
      </c>
      <c r="Q16" s="18">
        <f>ROUND(P16/P18,1)</f>
        <v>0.2</v>
      </c>
      <c r="R16" s="18">
        <f>P16/207*100</f>
        <v>24.154589371980677</v>
      </c>
    </row>
    <row r="17" spans="1:18" x14ac:dyDescent="0.35">
      <c r="A17" s="9" t="s">
        <v>123</v>
      </c>
      <c r="B17" s="9" t="s">
        <v>124</v>
      </c>
      <c r="C17" s="9" t="s">
        <v>74</v>
      </c>
      <c r="D17" s="9" t="s">
        <v>82</v>
      </c>
      <c r="E17" s="9" t="s">
        <v>76</v>
      </c>
      <c r="F17" s="10">
        <v>44745</v>
      </c>
      <c r="G17" s="9">
        <v>19</v>
      </c>
      <c r="H17" s="9">
        <v>62</v>
      </c>
      <c r="I17" s="9">
        <v>42</v>
      </c>
      <c r="J17" s="9">
        <v>12</v>
      </c>
      <c r="K17" s="9">
        <v>86</v>
      </c>
      <c r="L17" s="11">
        <v>0</v>
      </c>
      <c r="O17" s="16" t="s">
        <v>95</v>
      </c>
      <c r="P17" s="18">
        <f>COUNTIFS(C2:C251,"Civil")</f>
        <v>31</v>
      </c>
      <c r="Q17" s="18">
        <f>ROUND(P17/P18,1)</f>
        <v>0.1</v>
      </c>
      <c r="R17" s="18">
        <f>P17/207*100</f>
        <v>14.975845410628018</v>
      </c>
    </row>
    <row r="18" spans="1:18" x14ac:dyDescent="0.35">
      <c r="A18" s="9" t="s">
        <v>125</v>
      </c>
      <c r="B18" s="9" t="s">
        <v>126</v>
      </c>
      <c r="C18" s="9" t="s">
        <v>78</v>
      </c>
      <c r="D18" s="9" t="s">
        <v>82</v>
      </c>
      <c r="E18" s="9" t="s">
        <v>83</v>
      </c>
      <c r="F18" s="10">
        <v>44749</v>
      </c>
      <c r="G18" s="9">
        <v>78</v>
      </c>
      <c r="H18" s="9">
        <v>63</v>
      </c>
      <c r="I18" s="9">
        <v>49</v>
      </c>
      <c r="J18" s="9">
        <v>56</v>
      </c>
      <c r="K18" s="9">
        <v>72</v>
      </c>
      <c r="L18" s="11">
        <v>0</v>
      </c>
      <c r="O18" s="18"/>
      <c r="P18" s="18">
        <f>SUM(P14:P17)</f>
        <v>207</v>
      </c>
      <c r="Q18" s="18"/>
      <c r="R18" s="18">
        <f>SUM(R14:R17)</f>
        <v>100</v>
      </c>
    </row>
    <row r="19" spans="1:18" x14ac:dyDescent="0.35">
      <c r="A19" s="9" t="s">
        <v>127</v>
      </c>
      <c r="B19" s="9" t="s">
        <v>128</v>
      </c>
      <c r="C19" s="9" t="s">
        <v>78</v>
      </c>
      <c r="D19" s="9" t="s">
        <v>82</v>
      </c>
      <c r="E19" s="9" t="s">
        <v>76</v>
      </c>
      <c r="F19" s="10">
        <v>44750</v>
      </c>
      <c r="G19" s="9">
        <v>64</v>
      </c>
      <c r="H19" s="9">
        <v>25</v>
      </c>
      <c r="I19" s="9">
        <v>41</v>
      </c>
      <c r="J19" s="9">
        <v>50</v>
      </c>
      <c r="K19" s="9">
        <v>56</v>
      </c>
      <c r="L19" s="11">
        <v>0</v>
      </c>
    </row>
    <row r="20" spans="1:18" x14ac:dyDescent="0.35">
      <c r="A20" s="9" t="s">
        <v>129</v>
      </c>
      <c r="B20" s="9" t="s">
        <v>130</v>
      </c>
      <c r="C20" s="9" t="s">
        <v>95</v>
      </c>
      <c r="D20" s="9" t="s">
        <v>75</v>
      </c>
      <c r="E20" s="9" t="s">
        <v>76</v>
      </c>
      <c r="F20" s="10">
        <v>44751</v>
      </c>
      <c r="G20" s="9">
        <v>39</v>
      </c>
      <c r="H20" s="9">
        <v>58</v>
      </c>
      <c r="I20" s="9">
        <v>67</v>
      </c>
      <c r="J20" s="9">
        <v>63</v>
      </c>
      <c r="K20" s="9">
        <v>87</v>
      </c>
      <c r="L20" s="11">
        <v>0</v>
      </c>
    </row>
    <row r="21" spans="1:18" x14ac:dyDescent="0.35">
      <c r="A21" s="9" t="s">
        <v>131</v>
      </c>
      <c r="B21" s="9" t="s">
        <v>132</v>
      </c>
      <c r="C21" s="9" t="s">
        <v>74</v>
      </c>
      <c r="D21" s="9" t="s">
        <v>75</v>
      </c>
      <c r="E21" s="9" t="s">
        <v>83</v>
      </c>
      <c r="F21" s="10">
        <v>44751</v>
      </c>
      <c r="G21" s="9">
        <v>52</v>
      </c>
      <c r="H21" s="9">
        <v>49</v>
      </c>
      <c r="I21" s="9">
        <v>62</v>
      </c>
      <c r="J21" s="9">
        <v>65</v>
      </c>
      <c r="K21" s="9">
        <v>95</v>
      </c>
      <c r="L21" s="11">
        <v>0</v>
      </c>
    </row>
    <row r="22" spans="1:18" x14ac:dyDescent="0.35">
      <c r="A22" s="9" t="s">
        <v>133</v>
      </c>
      <c r="B22" s="9" t="s">
        <v>134</v>
      </c>
      <c r="C22" s="9" t="s">
        <v>78</v>
      </c>
      <c r="D22" s="9" t="s">
        <v>82</v>
      </c>
      <c r="E22" s="9" t="s">
        <v>83</v>
      </c>
      <c r="F22" s="10">
        <v>44751</v>
      </c>
      <c r="G22" s="9">
        <v>67</v>
      </c>
      <c r="H22" s="9">
        <v>55</v>
      </c>
      <c r="I22" s="9">
        <v>47</v>
      </c>
      <c r="J22" s="9">
        <v>64</v>
      </c>
      <c r="K22" s="9">
        <v>58</v>
      </c>
      <c r="L22" s="11">
        <v>10000</v>
      </c>
    </row>
    <row r="23" spans="1:18" x14ac:dyDescent="0.35">
      <c r="A23" s="9" t="s">
        <v>135</v>
      </c>
      <c r="B23" s="9" t="s">
        <v>136</v>
      </c>
      <c r="C23" s="9" t="s">
        <v>85</v>
      </c>
      <c r="D23" s="9" t="s">
        <v>75</v>
      </c>
      <c r="E23" s="9" t="s">
        <v>76</v>
      </c>
      <c r="F23" s="10">
        <v>44752</v>
      </c>
      <c r="G23" s="9">
        <v>58</v>
      </c>
      <c r="H23" s="9">
        <v>58</v>
      </c>
      <c r="I23" s="9">
        <v>52</v>
      </c>
      <c r="J23" s="9">
        <v>42</v>
      </c>
      <c r="K23" s="9">
        <v>72</v>
      </c>
      <c r="L23" s="11">
        <v>0</v>
      </c>
    </row>
    <row r="24" spans="1:18" x14ac:dyDescent="0.35">
      <c r="A24" s="9" t="s">
        <v>137</v>
      </c>
      <c r="B24" s="9" t="s">
        <v>138</v>
      </c>
      <c r="C24" s="9" t="s">
        <v>89</v>
      </c>
      <c r="D24" s="9" t="s">
        <v>75</v>
      </c>
      <c r="E24" s="9" t="s">
        <v>76</v>
      </c>
      <c r="F24" s="10">
        <v>44752</v>
      </c>
      <c r="G24" s="9">
        <v>56</v>
      </c>
      <c r="H24" s="9">
        <v>80</v>
      </c>
      <c r="I24" s="9">
        <v>59</v>
      </c>
      <c r="J24" s="9">
        <v>67</v>
      </c>
      <c r="K24" s="9">
        <v>73</v>
      </c>
      <c r="L24" s="11">
        <v>30000</v>
      </c>
    </row>
    <row r="25" spans="1:18" x14ac:dyDescent="0.35">
      <c r="A25" s="9" t="s">
        <v>139</v>
      </c>
      <c r="B25" s="9" t="s">
        <v>140</v>
      </c>
      <c r="C25" s="9" t="s">
        <v>78</v>
      </c>
      <c r="D25" s="9" t="s">
        <v>75</v>
      </c>
      <c r="E25" s="9" t="s">
        <v>76</v>
      </c>
      <c r="F25" s="10">
        <v>44753</v>
      </c>
      <c r="G25" s="9">
        <v>63</v>
      </c>
      <c r="H25" s="9">
        <v>66</v>
      </c>
      <c r="I25" s="9">
        <v>42</v>
      </c>
      <c r="J25" s="9">
        <v>62</v>
      </c>
      <c r="K25" s="9">
        <v>90</v>
      </c>
      <c r="L25" s="11">
        <v>20000</v>
      </c>
    </row>
    <row r="26" spans="1:18" x14ac:dyDescent="0.35">
      <c r="A26" s="9" t="s">
        <v>141</v>
      </c>
      <c r="B26" s="9" t="s">
        <v>142</v>
      </c>
      <c r="C26" s="9" t="s">
        <v>95</v>
      </c>
      <c r="D26" s="9" t="s">
        <v>75</v>
      </c>
      <c r="E26" s="9" t="s">
        <v>83</v>
      </c>
      <c r="F26" s="10">
        <v>44754</v>
      </c>
      <c r="G26" s="9">
        <v>54</v>
      </c>
      <c r="H26" s="9">
        <v>38</v>
      </c>
      <c r="I26" s="9">
        <v>54</v>
      </c>
      <c r="J26" s="9">
        <v>42</v>
      </c>
      <c r="K26" s="9">
        <v>63</v>
      </c>
      <c r="L26" s="11">
        <v>30000</v>
      </c>
    </row>
    <row r="27" spans="1:18" x14ac:dyDescent="0.35">
      <c r="A27" s="9" t="s">
        <v>143</v>
      </c>
      <c r="B27" s="9" t="s">
        <v>144</v>
      </c>
      <c r="C27" s="9" t="s">
        <v>74</v>
      </c>
      <c r="D27" s="9" t="s">
        <v>82</v>
      </c>
      <c r="E27" s="9" t="s">
        <v>76</v>
      </c>
      <c r="F27" s="10">
        <v>44755</v>
      </c>
      <c r="G27" s="9">
        <v>38</v>
      </c>
      <c r="H27" s="9">
        <v>77</v>
      </c>
      <c r="I27" s="9">
        <v>70</v>
      </c>
      <c r="J27" s="9">
        <v>75</v>
      </c>
      <c r="K27" s="9">
        <v>72</v>
      </c>
      <c r="L27" s="11">
        <v>0</v>
      </c>
    </row>
    <row r="28" spans="1:18" x14ac:dyDescent="0.35">
      <c r="A28" s="9" t="s">
        <v>145</v>
      </c>
      <c r="B28" s="9" t="s">
        <v>146</v>
      </c>
      <c r="C28" s="9" t="s">
        <v>85</v>
      </c>
      <c r="D28" s="9" t="s">
        <v>82</v>
      </c>
      <c r="E28" s="9" t="s">
        <v>76</v>
      </c>
      <c r="F28" s="10">
        <v>44755</v>
      </c>
      <c r="G28" s="9">
        <v>65</v>
      </c>
      <c r="H28" s="9">
        <v>90</v>
      </c>
      <c r="I28" s="9">
        <v>75</v>
      </c>
      <c r="J28" s="9">
        <v>71</v>
      </c>
      <c r="K28" s="9">
        <v>85</v>
      </c>
      <c r="L28" s="11">
        <v>0</v>
      </c>
    </row>
    <row r="29" spans="1:18" x14ac:dyDescent="0.35">
      <c r="A29" s="9" t="s">
        <v>147</v>
      </c>
      <c r="B29" s="9" t="s">
        <v>148</v>
      </c>
      <c r="C29" s="9" t="s">
        <v>78</v>
      </c>
      <c r="D29" s="9" t="s">
        <v>82</v>
      </c>
      <c r="E29" s="9" t="s">
        <v>76</v>
      </c>
      <c r="F29" s="10">
        <v>44757</v>
      </c>
      <c r="G29" s="9">
        <v>62</v>
      </c>
      <c r="H29" s="9">
        <v>100</v>
      </c>
      <c r="I29" s="9">
        <v>70</v>
      </c>
      <c r="J29" s="9">
        <v>99</v>
      </c>
      <c r="K29" s="9">
        <v>87</v>
      </c>
      <c r="L29" s="11">
        <v>10000</v>
      </c>
    </row>
    <row r="30" spans="1:18" x14ac:dyDescent="0.35">
      <c r="A30" s="9" t="s">
        <v>149</v>
      </c>
      <c r="B30" s="9" t="s">
        <v>150</v>
      </c>
      <c r="C30" s="9" t="s">
        <v>74</v>
      </c>
      <c r="D30" s="9" t="s">
        <v>82</v>
      </c>
      <c r="E30" s="9" t="s">
        <v>83</v>
      </c>
      <c r="F30" s="10">
        <v>44757</v>
      </c>
      <c r="G30" s="9">
        <v>65</v>
      </c>
      <c r="H30" s="9">
        <v>77</v>
      </c>
      <c r="I30" s="9">
        <v>78</v>
      </c>
      <c r="J30" s="9">
        <v>89</v>
      </c>
      <c r="K30" s="9">
        <v>70</v>
      </c>
      <c r="L30" s="11">
        <v>0</v>
      </c>
    </row>
    <row r="31" spans="1:18" x14ac:dyDescent="0.35">
      <c r="A31" s="9" t="s">
        <v>151</v>
      </c>
      <c r="B31" s="9" t="s">
        <v>152</v>
      </c>
      <c r="C31" s="9" t="s">
        <v>85</v>
      </c>
      <c r="D31" s="9" t="s">
        <v>75</v>
      </c>
      <c r="E31" s="9" t="s">
        <v>83</v>
      </c>
      <c r="F31" s="10">
        <v>44758</v>
      </c>
      <c r="G31" s="9">
        <v>66</v>
      </c>
      <c r="H31" s="9">
        <v>64</v>
      </c>
      <c r="I31" s="9">
        <v>57</v>
      </c>
      <c r="J31" s="9">
        <v>55</v>
      </c>
      <c r="K31" s="9">
        <v>79</v>
      </c>
      <c r="L31" s="11">
        <v>0</v>
      </c>
    </row>
    <row r="32" spans="1:18" x14ac:dyDescent="0.35">
      <c r="A32" s="9" t="s">
        <v>153</v>
      </c>
      <c r="B32" s="9" t="s">
        <v>154</v>
      </c>
      <c r="C32" s="9" t="s">
        <v>89</v>
      </c>
      <c r="D32" s="9" t="s">
        <v>82</v>
      </c>
      <c r="E32" s="9" t="s">
        <v>83</v>
      </c>
      <c r="F32" s="10">
        <v>44759</v>
      </c>
      <c r="G32" s="9">
        <v>17</v>
      </c>
      <c r="H32" s="9">
        <v>12</v>
      </c>
      <c r="I32" s="9">
        <v>33</v>
      </c>
      <c r="J32" s="9">
        <v>17</v>
      </c>
      <c r="K32" s="9">
        <v>80</v>
      </c>
      <c r="L32" s="11">
        <v>30000</v>
      </c>
    </row>
    <row r="33" spans="1:12" x14ac:dyDescent="0.35">
      <c r="A33" s="9" t="s">
        <v>155</v>
      </c>
      <c r="B33" s="9" t="s">
        <v>156</v>
      </c>
      <c r="C33" s="9" t="s">
        <v>74</v>
      </c>
      <c r="D33" s="9" t="s">
        <v>75</v>
      </c>
      <c r="E33" s="9" t="s">
        <v>76</v>
      </c>
      <c r="F33" s="10">
        <v>44760</v>
      </c>
      <c r="G33" s="9">
        <v>59</v>
      </c>
      <c r="H33" s="9">
        <v>94</v>
      </c>
      <c r="I33" s="9">
        <v>90</v>
      </c>
      <c r="J33" s="9">
        <v>86</v>
      </c>
      <c r="K33" s="9">
        <v>90</v>
      </c>
      <c r="L33" s="11">
        <v>0</v>
      </c>
    </row>
    <row r="34" spans="1:12" x14ac:dyDescent="0.35">
      <c r="A34" s="9" t="s">
        <v>157</v>
      </c>
      <c r="B34" s="9" t="s">
        <v>158</v>
      </c>
      <c r="C34" s="9" t="s">
        <v>89</v>
      </c>
      <c r="D34" s="9" t="s">
        <v>75</v>
      </c>
      <c r="E34" s="9" t="s">
        <v>83</v>
      </c>
      <c r="F34" s="10">
        <v>44761</v>
      </c>
      <c r="G34" s="9">
        <v>53</v>
      </c>
      <c r="H34" s="9">
        <v>44</v>
      </c>
      <c r="I34" s="9">
        <v>49</v>
      </c>
      <c r="J34" s="9">
        <v>68</v>
      </c>
      <c r="K34" s="9">
        <v>85</v>
      </c>
      <c r="L34" s="11">
        <v>0</v>
      </c>
    </row>
    <row r="35" spans="1:12" x14ac:dyDescent="0.35">
      <c r="A35" s="9" t="s">
        <v>159</v>
      </c>
      <c r="B35" s="9" t="s">
        <v>160</v>
      </c>
      <c r="C35" s="9" t="s">
        <v>74</v>
      </c>
      <c r="D35" s="9" t="s">
        <v>82</v>
      </c>
      <c r="E35" s="9" t="s">
        <v>76</v>
      </c>
      <c r="F35" s="10">
        <v>44762</v>
      </c>
      <c r="G35" s="9">
        <v>96</v>
      </c>
      <c r="H35" s="9">
        <v>99</v>
      </c>
      <c r="I35" s="9">
        <v>77</v>
      </c>
      <c r="J35" s="9">
        <v>66</v>
      </c>
      <c r="K35" s="9">
        <v>90</v>
      </c>
      <c r="L35" s="11">
        <v>10000</v>
      </c>
    </row>
    <row r="36" spans="1:12" x14ac:dyDescent="0.35">
      <c r="A36" s="9" t="s">
        <v>161</v>
      </c>
      <c r="B36" s="9" t="s">
        <v>162</v>
      </c>
      <c r="C36" s="9" t="s">
        <v>89</v>
      </c>
      <c r="D36" s="9" t="s">
        <v>75</v>
      </c>
      <c r="E36" s="9" t="s">
        <v>76</v>
      </c>
      <c r="F36" s="10">
        <v>44764</v>
      </c>
      <c r="G36" s="9">
        <v>53</v>
      </c>
      <c r="H36" s="9">
        <v>25</v>
      </c>
      <c r="I36" s="9">
        <v>42</v>
      </c>
      <c r="J36" s="9">
        <v>50</v>
      </c>
      <c r="K36" s="9">
        <v>99</v>
      </c>
      <c r="L36" s="11">
        <v>0</v>
      </c>
    </row>
    <row r="37" spans="1:12" x14ac:dyDescent="0.35">
      <c r="A37" s="9" t="s">
        <v>163</v>
      </c>
      <c r="B37" s="9" t="s">
        <v>164</v>
      </c>
      <c r="C37" s="9" t="s">
        <v>74</v>
      </c>
      <c r="D37" s="9" t="s">
        <v>82</v>
      </c>
      <c r="E37" s="9" t="s">
        <v>83</v>
      </c>
      <c r="F37" s="10">
        <v>44768</v>
      </c>
      <c r="G37" s="9">
        <v>27</v>
      </c>
      <c r="H37" s="9">
        <v>36</v>
      </c>
      <c r="I37" s="9">
        <v>49</v>
      </c>
      <c r="J37" s="9">
        <v>62</v>
      </c>
      <c r="K37" s="9">
        <v>90</v>
      </c>
      <c r="L37" s="11">
        <v>0</v>
      </c>
    </row>
    <row r="38" spans="1:12" x14ac:dyDescent="0.35">
      <c r="A38" s="9" t="s">
        <v>165</v>
      </c>
      <c r="B38" s="9" t="s">
        <v>166</v>
      </c>
      <c r="C38" s="9" t="s">
        <v>95</v>
      </c>
      <c r="D38" s="9" t="s">
        <v>82</v>
      </c>
      <c r="E38" s="9" t="s">
        <v>76</v>
      </c>
      <c r="F38" s="10">
        <v>44768</v>
      </c>
      <c r="G38" s="9">
        <v>58</v>
      </c>
      <c r="H38" s="9">
        <v>81</v>
      </c>
      <c r="I38" s="9">
        <v>68</v>
      </c>
      <c r="J38" s="9">
        <v>89</v>
      </c>
      <c r="K38" s="9">
        <v>76</v>
      </c>
      <c r="L38" s="11">
        <v>30000</v>
      </c>
    </row>
    <row r="39" spans="1:12" x14ac:dyDescent="0.35">
      <c r="A39" s="9" t="s">
        <v>167</v>
      </c>
      <c r="B39" s="9" t="s">
        <v>168</v>
      </c>
      <c r="C39" s="9" t="s">
        <v>78</v>
      </c>
      <c r="D39" s="9" t="s">
        <v>75</v>
      </c>
      <c r="E39" s="9" t="s">
        <v>76</v>
      </c>
      <c r="F39" s="10">
        <v>44769</v>
      </c>
      <c r="G39" s="9">
        <v>43</v>
      </c>
      <c r="H39" s="9">
        <v>40</v>
      </c>
      <c r="I39" s="9">
        <v>53</v>
      </c>
      <c r="J39" s="9">
        <v>30</v>
      </c>
      <c r="K39" s="9">
        <v>80</v>
      </c>
      <c r="L39" s="11">
        <v>0</v>
      </c>
    </row>
    <row r="40" spans="1:12" x14ac:dyDescent="0.35">
      <c r="A40" s="9" t="s">
        <v>169</v>
      </c>
      <c r="B40" s="9" t="s">
        <v>73</v>
      </c>
      <c r="C40" s="9" t="s">
        <v>78</v>
      </c>
      <c r="D40" s="9" t="s">
        <v>75</v>
      </c>
      <c r="E40" s="9" t="s">
        <v>83</v>
      </c>
      <c r="F40" s="10">
        <v>44769</v>
      </c>
      <c r="G40" s="9">
        <v>60</v>
      </c>
      <c r="H40" s="9">
        <v>80</v>
      </c>
      <c r="I40" s="9">
        <v>70</v>
      </c>
      <c r="J40" s="9">
        <v>56</v>
      </c>
      <c r="K40" s="9">
        <v>88</v>
      </c>
      <c r="L40" s="11">
        <v>0</v>
      </c>
    </row>
    <row r="41" spans="1:12" x14ac:dyDescent="0.35">
      <c r="A41" s="9" t="s">
        <v>170</v>
      </c>
      <c r="B41" s="9" t="s">
        <v>171</v>
      </c>
      <c r="C41" s="9" t="s">
        <v>85</v>
      </c>
      <c r="D41" s="9" t="s">
        <v>75</v>
      </c>
      <c r="E41" s="9" t="s">
        <v>76</v>
      </c>
      <c r="F41" s="10">
        <v>44771</v>
      </c>
      <c r="G41" s="9">
        <v>67</v>
      </c>
      <c r="H41" s="9">
        <v>69</v>
      </c>
      <c r="I41" s="9">
        <v>57</v>
      </c>
      <c r="J41" s="9">
        <v>68</v>
      </c>
      <c r="K41" s="9">
        <v>100</v>
      </c>
      <c r="L41" s="11">
        <v>0</v>
      </c>
    </row>
    <row r="42" spans="1:12" x14ac:dyDescent="0.35">
      <c r="A42" s="9" t="s">
        <v>172</v>
      </c>
      <c r="B42" s="9" t="s">
        <v>173</v>
      </c>
      <c r="C42" s="9" t="s">
        <v>78</v>
      </c>
      <c r="D42" s="9" t="s">
        <v>75</v>
      </c>
      <c r="E42" s="9" t="s">
        <v>76</v>
      </c>
      <c r="F42" s="10">
        <v>44776</v>
      </c>
      <c r="G42" s="9">
        <v>79</v>
      </c>
      <c r="H42" s="9">
        <v>82</v>
      </c>
      <c r="I42" s="9">
        <v>92</v>
      </c>
      <c r="J42" s="9">
        <v>66</v>
      </c>
      <c r="K42" s="9">
        <v>92</v>
      </c>
      <c r="L42" s="11">
        <v>0</v>
      </c>
    </row>
    <row r="43" spans="1:12" x14ac:dyDescent="0.35">
      <c r="A43" s="9" t="s">
        <v>174</v>
      </c>
      <c r="B43" s="9" t="s">
        <v>175</v>
      </c>
      <c r="C43" s="9" t="s">
        <v>74</v>
      </c>
      <c r="D43" s="9" t="s">
        <v>82</v>
      </c>
      <c r="E43" s="9" t="s">
        <v>76</v>
      </c>
      <c r="F43" s="10">
        <v>44778</v>
      </c>
      <c r="G43" s="9">
        <v>59</v>
      </c>
      <c r="H43" s="9">
        <v>75</v>
      </c>
      <c r="I43" s="9">
        <v>93</v>
      </c>
      <c r="J43" s="9">
        <v>90</v>
      </c>
      <c r="K43" s="9">
        <v>84</v>
      </c>
      <c r="L43" s="11">
        <v>0</v>
      </c>
    </row>
    <row r="44" spans="1:12" x14ac:dyDescent="0.35">
      <c r="A44" s="9" t="s">
        <v>176</v>
      </c>
      <c r="B44" s="9" t="s">
        <v>177</v>
      </c>
      <c r="C44" s="9" t="s">
        <v>78</v>
      </c>
      <c r="D44" s="9" t="s">
        <v>75</v>
      </c>
      <c r="E44" s="9" t="s">
        <v>83</v>
      </c>
      <c r="F44" s="10">
        <v>44783</v>
      </c>
      <c r="G44" s="9">
        <v>68</v>
      </c>
      <c r="H44" s="9">
        <v>71</v>
      </c>
      <c r="I44" s="9">
        <v>58</v>
      </c>
      <c r="J44" s="9">
        <v>59</v>
      </c>
      <c r="K44" s="9">
        <v>80</v>
      </c>
      <c r="L44" s="11">
        <v>20000</v>
      </c>
    </row>
    <row r="45" spans="1:12" x14ac:dyDescent="0.35">
      <c r="A45" s="9" t="s">
        <v>178</v>
      </c>
      <c r="B45" s="9" t="s">
        <v>179</v>
      </c>
      <c r="C45" s="9" t="s">
        <v>78</v>
      </c>
      <c r="D45" s="9" t="s">
        <v>82</v>
      </c>
      <c r="E45" s="9" t="s">
        <v>76</v>
      </c>
      <c r="F45" s="10">
        <v>44783</v>
      </c>
      <c r="G45" s="9">
        <v>59</v>
      </c>
      <c r="H45" s="9">
        <v>42</v>
      </c>
      <c r="I45" s="9">
        <v>38</v>
      </c>
      <c r="J45" s="9">
        <v>57</v>
      </c>
      <c r="K45" s="9">
        <v>88</v>
      </c>
      <c r="L45" s="11">
        <v>0</v>
      </c>
    </row>
    <row r="46" spans="1:12" x14ac:dyDescent="0.35">
      <c r="A46" s="9" t="s">
        <v>180</v>
      </c>
      <c r="B46" s="9" t="s">
        <v>181</v>
      </c>
      <c r="C46" s="9" t="s">
        <v>74</v>
      </c>
      <c r="D46" s="9" t="s">
        <v>75</v>
      </c>
      <c r="E46" s="9" t="s">
        <v>83</v>
      </c>
      <c r="F46" s="10">
        <v>44786</v>
      </c>
      <c r="G46" s="9">
        <v>67</v>
      </c>
      <c r="H46" s="9">
        <v>51</v>
      </c>
      <c r="I46" s="9">
        <v>68</v>
      </c>
      <c r="J46" s="9">
        <v>51</v>
      </c>
      <c r="K46" s="9">
        <v>58</v>
      </c>
      <c r="L46" s="11">
        <v>0</v>
      </c>
    </row>
    <row r="47" spans="1:12" x14ac:dyDescent="0.35">
      <c r="A47" s="9" t="s">
        <v>182</v>
      </c>
      <c r="B47" s="9" t="s">
        <v>183</v>
      </c>
      <c r="C47" s="9" t="s">
        <v>89</v>
      </c>
      <c r="D47" s="9" t="s">
        <v>82</v>
      </c>
      <c r="E47" s="9" t="s">
        <v>76</v>
      </c>
      <c r="F47" s="10">
        <v>44787</v>
      </c>
      <c r="G47" s="9">
        <v>44</v>
      </c>
      <c r="H47" s="9">
        <v>37</v>
      </c>
      <c r="I47" s="9">
        <v>40</v>
      </c>
      <c r="J47" s="9">
        <v>60</v>
      </c>
      <c r="K47" s="9">
        <v>79</v>
      </c>
      <c r="L47" s="11">
        <v>0</v>
      </c>
    </row>
    <row r="48" spans="1:12" x14ac:dyDescent="0.35">
      <c r="A48" s="9" t="s">
        <v>184</v>
      </c>
      <c r="B48" s="9" t="s">
        <v>185</v>
      </c>
      <c r="C48" s="9" t="s">
        <v>78</v>
      </c>
      <c r="D48" s="9" t="s">
        <v>75</v>
      </c>
      <c r="E48" s="9" t="s">
        <v>76</v>
      </c>
      <c r="F48" s="10">
        <v>44787</v>
      </c>
      <c r="G48" s="9">
        <v>59</v>
      </c>
      <c r="H48" s="9">
        <v>50</v>
      </c>
      <c r="I48" s="9">
        <v>46</v>
      </c>
      <c r="J48" s="9">
        <v>44</v>
      </c>
      <c r="K48" s="9">
        <v>81</v>
      </c>
      <c r="L48" s="11">
        <v>20000</v>
      </c>
    </row>
    <row r="49" spans="1:12" x14ac:dyDescent="0.35">
      <c r="A49" s="9" t="s">
        <v>186</v>
      </c>
      <c r="B49" s="9" t="s">
        <v>187</v>
      </c>
      <c r="C49" s="9" t="s">
        <v>85</v>
      </c>
      <c r="D49" s="9" t="s">
        <v>75</v>
      </c>
      <c r="E49" s="9" t="s">
        <v>76</v>
      </c>
      <c r="F49" s="10">
        <v>44790</v>
      </c>
      <c r="G49" s="9">
        <v>58</v>
      </c>
      <c r="H49" s="9">
        <v>61</v>
      </c>
      <c r="I49" s="9">
        <v>49</v>
      </c>
      <c r="J49" s="9">
        <v>46</v>
      </c>
      <c r="K49" s="9">
        <v>90</v>
      </c>
      <c r="L49" s="11">
        <v>30000</v>
      </c>
    </row>
    <row r="50" spans="1:12" x14ac:dyDescent="0.35">
      <c r="A50" s="9" t="s">
        <v>188</v>
      </c>
      <c r="B50" s="9" t="s">
        <v>189</v>
      </c>
      <c r="C50" s="9" t="s">
        <v>78</v>
      </c>
      <c r="D50" s="9" t="s">
        <v>82</v>
      </c>
      <c r="E50" s="9" t="s">
        <v>83</v>
      </c>
      <c r="F50" s="10">
        <v>44791</v>
      </c>
      <c r="G50" s="9">
        <v>97</v>
      </c>
      <c r="H50" s="9">
        <v>97</v>
      </c>
      <c r="I50" s="9">
        <v>78</v>
      </c>
      <c r="J50" s="9">
        <v>65</v>
      </c>
      <c r="K50" s="9">
        <v>98</v>
      </c>
      <c r="L50" s="11">
        <v>0</v>
      </c>
    </row>
    <row r="51" spans="1:12" x14ac:dyDescent="0.35">
      <c r="A51" s="9" t="s">
        <v>190</v>
      </c>
      <c r="B51" s="9" t="s">
        <v>191</v>
      </c>
      <c r="C51" s="9" t="s">
        <v>74</v>
      </c>
      <c r="D51" s="9" t="s">
        <v>82</v>
      </c>
      <c r="E51" s="9" t="s">
        <v>76</v>
      </c>
      <c r="F51" s="10">
        <v>44791</v>
      </c>
      <c r="G51" s="9">
        <v>73</v>
      </c>
      <c r="H51" s="9">
        <v>73</v>
      </c>
      <c r="I51" s="9">
        <v>89</v>
      </c>
      <c r="J51" s="9">
        <v>71</v>
      </c>
      <c r="K51" s="9">
        <v>90</v>
      </c>
      <c r="L51" s="11">
        <v>0</v>
      </c>
    </row>
    <row r="52" spans="1:12" x14ac:dyDescent="0.35">
      <c r="A52" s="9" t="s">
        <v>192</v>
      </c>
      <c r="B52" s="9" t="s">
        <v>193</v>
      </c>
      <c r="C52" s="9" t="s">
        <v>95</v>
      </c>
      <c r="D52" s="9" t="s">
        <v>82</v>
      </c>
      <c r="E52" s="9" t="s">
        <v>76</v>
      </c>
      <c r="F52" s="10">
        <v>44794</v>
      </c>
      <c r="G52" s="9">
        <v>44</v>
      </c>
      <c r="H52" s="9">
        <v>50</v>
      </c>
      <c r="I52" s="9">
        <v>36</v>
      </c>
      <c r="J52" s="9">
        <v>41</v>
      </c>
      <c r="K52" s="9">
        <v>91</v>
      </c>
      <c r="L52" s="11">
        <v>0</v>
      </c>
    </row>
    <row r="53" spans="1:12" x14ac:dyDescent="0.35">
      <c r="A53" s="9" t="s">
        <v>194</v>
      </c>
      <c r="B53" s="9" t="s">
        <v>195</v>
      </c>
      <c r="C53" s="9" t="s">
        <v>78</v>
      </c>
      <c r="D53" s="9" t="s">
        <v>82</v>
      </c>
      <c r="E53" s="9" t="s">
        <v>83</v>
      </c>
      <c r="F53" s="10">
        <v>44794</v>
      </c>
      <c r="G53" s="9">
        <v>84</v>
      </c>
      <c r="H53" s="9">
        <v>82</v>
      </c>
      <c r="I53" s="9">
        <v>70</v>
      </c>
      <c r="J53" s="9">
        <v>66</v>
      </c>
      <c r="K53" s="9">
        <v>79</v>
      </c>
      <c r="L53" s="11">
        <v>20000</v>
      </c>
    </row>
    <row r="54" spans="1:12" x14ac:dyDescent="0.35">
      <c r="A54" s="9" t="s">
        <v>196</v>
      </c>
      <c r="B54" s="9" t="s">
        <v>197</v>
      </c>
      <c r="C54" s="9" t="s">
        <v>85</v>
      </c>
      <c r="D54" s="9" t="s">
        <v>75</v>
      </c>
      <c r="E54" s="9" t="s">
        <v>76</v>
      </c>
      <c r="F54" s="10">
        <v>44795</v>
      </c>
      <c r="G54" s="9">
        <v>87</v>
      </c>
      <c r="H54" s="9">
        <v>73</v>
      </c>
      <c r="I54" s="9">
        <v>83</v>
      </c>
      <c r="J54" s="9">
        <v>72</v>
      </c>
      <c r="K54" s="9">
        <v>74</v>
      </c>
      <c r="L54" s="11">
        <v>0</v>
      </c>
    </row>
    <row r="55" spans="1:12" x14ac:dyDescent="0.35">
      <c r="A55" s="9" t="s">
        <v>198</v>
      </c>
      <c r="B55" s="9" t="s">
        <v>122</v>
      </c>
      <c r="C55" s="9" t="s">
        <v>89</v>
      </c>
      <c r="D55" s="9" t="s">
        <v>75</v>
      </c>
      <c r="E55" s="9" t="s">
        <v>76</v>
      </c>
      <c r="F55" s="10">
        <v>44795</v>
      </c>
      <c r="G55" s="9">
        <v>73</v>
      </c>
      <c r="H55" s="9">
        <v>100</v>
      </c>
      <c r="I55" s="9">
        <v>100</v>
      </c>
      <c r="J55" s="9">
        <v>83</v>
      </c>
      <c r="K55" s="9">
        <v>98</v>
      </c>
      <c r="L55" s="11">
        <v>20000</v>
      </c>
    </row>
    <row r="56" spans="1:12" x14ac:dyDescent="0.35">
      <c r="A56" s="9" t="s">
        <v>199</v>
      </c>
      <c r="B56" s="9" t="s">
        <v>200</v>
      </c>
      <c r="C56" s="9" t="s">
        <v>85</v>
      </c>
      <c r="D56" s="9" t="s">
        <v>75</v>
      </c>
      <c r="E56" s="9" t="s">
        <v>76</v>
      </c>
      <c r="F56" s="10">
        <v>44795</v>
      </c>
      <c r="G56" s="9">
        <v>73</v>
      </c>
      <c r="H56" s="9">
        <v>74</v>
      </c>
      <c r="I56" s="9">
        <v>44</v>
      </c>
      <c r="J56" s="9">
        <v>57</v>
      </c>
      <c r="K56" s="9">
        <v>94</v>
      </c>
      <c r="L56" s="11">
        <v>0</v>
      </c>
    </row>
    <row r="57" spans="1:12" x14ac:dyDescent="0.35">
      <c r="A57" s="9" t="s">
        <v>201</v>
      </c>
      <c r="B57" s="9" t="s">
        <v>202</v>
      </c>
      <c r="C57" s="9" t="s">
        <v>89</v>
      </c>
      <c r="D57" s="9" t="s">
        <v>75</v>
      </c>
      <c r="E57" s="9" t="s">
        <v>76</v>
      </c>
      <c r="F57" s="10">
        <v>44797</v>
      </c>
      <c r="G57" s="9">
        <v>64</v>
      </c>
      <c r="H57" s="9">
        <v>92</v>
      </c>
      <c r="I57" s="9">
        <v>91</v>
      </c>
      <c r="J57" s="9">
        <v>82</v>
      </c>
      <c r="K57" s="9">
        <v>72</v>
      </c>
      <c r="L57" s="11">
        <v>10000</v>
      </c>
    </row>
    <row r="58" spans="1:12" x14ac:dyDescent="0.35">
      <c r="A58" s="9" t="s">
        <v>203</v>
      </c>
      <c r="B58" s="9" t="s">
        <v>204</v>
      </c>
      <c r="C58" s="9" t="s">
        <v>89</v>
      </c>
      <c r="D58" s="9" t="s">
        <v>82</v>
      </c>
      <c r="E58" s="9" t="s">
        <v>76</v>
      </c>
      <c r="F58" s="10">
        <v>44797</v>
      </c>
      <c r="G58" s="9">
        <v>51</v>
      </c>
      <c r="H58" s="9">
        <v>44</v>
      </c>
      <c r="I58" s="9">
        <v>60</v>
      </c>
      <c r="J58" s="9">
        <v>40</v>
      </c>
      <c r="K58" s="9">
        <v>76</v>
      </c>
      <c r="L58" s="11">
        <v>0</v>
      </c>
    </row>
    <row r="59" spans="1:12" x14ac:dyDescent="0.35">
      <c r="A59" s="9" t="s">
        <v>205</v>
      </c>
      <c r="B59" s="9" t="s">
        <v>206</v>
      </c>
      <c r="C59" s="9" t="s">
        <v>78</v>
      </c>
      <c r="D59" s="9" t="s">
        <v>75</v>
      </c>
      <c r="E59" s="9" t="s">
        <v>76</v>
      </c>
      <c r="F59" s="10">
        <v>44798</v>
      </c>
      <c r="G59" s="9">
        <v>47</v>
      </c>
      <c r="H59" s="9">
        <v>24</v>
      </c>
      <c r="I59" s="9">
        <v>49</v>
      </c>
      <c r="J59" s="9">
        <v>23</v>
      </c>
      <c r="K59" s="9">
        <v>80</v>
      </c>
      <c r="L59" s="11">
        <v>30000</v>
      </c>
    </row>
    <row r="60" spans="1:12" x14ac:dyDescent="0.35">
      <c r="A60" s="9" t="s">
        <v>207</v>
      </c>
      <c r="B60" s="9" t="s">
        <v>208</v>
      </c>
      <c r="C60" s="9" t="s">
        <v>78</v>
      </c>
      <c r="D60" s="9" t="s">
        <v>75</v>
      </c>
      <c r="E60" s="9" t="s">
        <v>83</v>
      </c>
      <c r="F60" s="10">
        <v>44798</v>
      </c>
      <c r="G60" s="9">
        <v>69</v>
      </c>
      <c r="H60" s="9">
        <v>56</v>
      </c>
      <c r="I60" s="9">
        <v>53</v>
      </c>
      <c r="J60" s="9">
        <v>45</v>
      </c>
      <c r="K60" s="9">
        <v>100</v>
      </c>
      <c r="L60" s="11">
        <v>0</v>
      </c>
    </row>
    <row r="61" spans="1:12" x14ac:dyDescent="0.35">
      <c r="A61" s="9" t="s">
        <v>209</v>
      </c>
      <c r="B61" s="9" t="s">
        <v>210</v>
      </c>
      <c r="C61" s="9" t="s">
        <v>78</v>
      </c>
      <c r="D61" s="9" t="s">
        <v>82</v>
      </c>
      <c r="E61" s="9" t="s">
        <v>76</v>
      </c>
      <c r="F61" s="10">
        <v>44798</v>
      </c>
      <c r="G61" s="9">
        <v>29</v>
      </c>
      <c r="H61" s="9">
        <v>41</v>
      </c>
      <c r="I61" s="9">
        <v>37</v>
      </c>
      <c r="J61" s="9">
        <v>46</v>
      </c>
      <c r="K61" s="9">
        <v>100</v>
      </c>
      <c r="L61" s="11">
        <v>0</v>
      </c>
    </row>
    <row r="62" spans="1:12" x14ac:dyDescent="0.35">
      <c r="A62" s="9" t="s">
        <v>211</v>
      </c>
      <c r="B62" s="9" t="s">
        <v>212</v>
      </c>
      <c r="C62" s="9" t="s">
        <v>78</v>
      </c>
      <c r="D62" s="9" t="s">
        <v>75</v>
      </c>
      <c r="E62" s="9" t="s">
        <v>83</v>
      </c>
      <c r="F62" s="10">
        <v>44800</v>
      </c>
      <c r="G62" s="9">
        <v>59</v>
      </c>
      <c r="H62" s="9">
        <v>82</v>
      </c>
      <c r="I62" s="9">
        <v>58</v>
      </c>
      <c r="J62" s="9">
        <v>77</v>
      </c>
      <c r="K62" s="9">
        <v>79</v>
      </c>
      <c r="L62" s="11">
        <v>0</v>
      </c>
    </row>
    <row r="63" spans="1:12" x14ac:dyDescent="0.35">
      <c r="A63" s="9" t="s">
        <v>213</v>
      </c>
      <c r="B63" s="9" t="s">
        <v>214</v>
      </c>
      <c r="C63" s="9" t="s">
        <v>78</v>
      </c>
      <c r="D63" s="9" t="s">
        <v>82</v>
      </c>
      <c r="E63" s="9" t="s">
        <v>76</v>
      </c>
      <c r="F63" s="10">
        <v>44801</v>
      </c>
      <c r="G63" s="9">
        <v>81</v>
      </c>
      <c r="H63" s="9">
        <v>61</v>
      </c>
      <c r="I63" s="9">
        <v>56</v>
      </c>
      <c r="J63" s="9">
        <v>82</v>
      </c>
      <c r="K63" s="9">
        <v>70</v>
      </c>
      <c r="L63" s="11">
        <v>20000</v>
      </c>
    </row>
    <row r="64" spans="1:12" x14ac:dyDescent="0.35">
      <c r="A64" s="9" t="s">
        <v>215</v>
      </c>
      <c r="B64" s="9" t="s">
        <v>216</v>
      </c>
      <c r="C64" s="9" t="s">
        <v>95</v>
      </c>
      <c r="D64" s="9" t="s">
        <v>82</v>
      </c>
      <c r="E64" s="9" t="s">
        <v>83</v>
      </c>
      <c r="F64" s="10">
        <v>45092</v>
      </c>
      <c r="G64" s="9">
        <v>31</v>
      </c>
      <c r="H64" s="9">
        <v>12</v>
      </c>
      <c r="I64" s="9">
        <v>16</v>
      </c>
      <c r="J64" s="9">
        <v>35</v>
      </c>
      <c r="K64" s="9">
        <v>87</v>
      </c>
      <c r="L64" s="11">
        <v>20000</v>
      </c>
    </row>
    <row r="65" spans="1:12" x14ac:dyDescent="0.35">
      <c r="A65" s="9" t="s">
        <v>217</v>
      </c>
      <c r="B65" s="9" t="s">
        <v>218</v>
      </c>
      <c r="C65" s="9" t="s">
        <v>85</v>
      </c>
      <c r="D65" s="9" t="s">
        <v>75</v>
      </c>
      <c r="E65" s="9" t="s">
        <v>76</v>
      </c>
      <c r="F65" s="10">
        <v>45093</v>
      </c>
      <c r="G65" s="9">
        <v>60</v>
      </c>
      <c r="H65" s="9">
        <v>56</v>
      </c>
      <c r="I65" s="9">
        <v>50</v>
      </c>
      <c r="J65" s="9">
        <v>53</v>
      </c>
      <c r="K65" s="9">
        <v>90</v>
      </c>
      <c r="L65" s="11">
        <v>0</v>
      </c>
    </row>
    <row r="66" spans="1:12" x14ac:dyDescent="0.35">
      <c r="A66" s="9" t="s">
        <v>219</v>
      </c>
      <c r="B66" s="9" t="s">
        <v>220</v>
      </c>
      <c r="C66" s="9" t="s">
        <v>85</v>
      </c>
      <c r="D66" s="9" t="s">
        <v>82</v>
      </c>
      <c r="E66" s="9" t="s">
        <v>76</v>
      </c>
      <c r="F66" s="10">
        <v>45093</v>
      </c>
      <c r="G66" s="9">
        <v>91</v>
      </c>
      <c r="H66" s="9">
        <v>94</v>
      </c>
      <c r="I66" s="9">
        <v>90</v>
      </c>
      <c r="J66" s="9">
        <v>98</v>
      </c>
      <c r="K66" s="9">
        <v>91</v>
      </c>
      <c r="L66" s="11">
        <v>20000</v>
      </c>
    </row>
    <row r="67" spans="1:12" x14ac:dyDescent="0.35">
      <c r="A67" s="9" t="s">
        <v>221</v>
      </c>
      <c r="B67" s="9" t="s">
        <v>222</v>
      </c>
      <c r="C67" s="9" t="s">
        <v>78</v>
      </c>
      <c r="D67" s="9" t="s">
        <v>82</v>
      </c>
      <c r="E67" s="9" t="s">
        <v>76</v>
      </c>
      <c r="F67" s="10">
        <v>45094</v>
      </c>
      <c r="G67" s="9">
        <v>75</v>
      </c>
      <c r="H67" s="9">
        <v>85</v>
      </c>
      <c r="I67" s="9">
        <v>69</v>
      </c>
      <c r="J67" s="9">
        <v>69</v>
      </c>
      <c r="K67" s="9">
        <v>78</v>
      </c>
      <c r="L67" s="11">
        <v>0</v>
      </c>
    </row>
    <row r="68" spans="1:12" x14ac:dyDescent="0.35">
      <c r="A68" s="9" t="s">
        <v>223</v>
      </c>
      <c r="B68" s="9" t="s">
        <v>224</v>
      </c>
      <c r="C68" s="9" t="s">
        <v>74</v>
      </c>
      <c r="D68" s="9" t="s">
        <v>75</v>
      </c>
      <c r="E68" s="9" t="s">
        <v>83</v>
      </c>
      <c r="F68" s="10">
        <v>45095</v>
      </c>
      <c r="G68" s="9">
        <v>22</v>
      </c>
      <c r="H68" s="9">
        <v>30</v>
      </c>
      <c r="I68" s="9">
        <v>31</v>
      </c>
      <c r="J68" s="9">
        <v>40</v>
      </c>
      <c r="K68" s="9">
        <v>75</v>
      </c>
      <c r="L68" s="11">
        <v>0</v>
      </c>
    </row>
    <row r="69" spans="1:12" x14ac:dyDescent="0.35">
      <c r="A69" s="9" t="s">
        <v>225</v>
      </c>
      <c r="B69" s="9" t="s">
        <v>226</v>
      </c>
      <c r="C69" s="9" t="s">
        <v>89</v>
      </c>
      <c r="D69" s="9" t="s">
        <v>75</v>
      </c>
      <c r="E69" s="9" t="s">
        <v>83</v>
      </c>
      <c r="F69" s="10">
        <v>45095</v>
      </c>
      <c r="G69" s="9">
        <v>71</v>
      </c>
      <c r="H69" s="9">
        <v>82</v>
      </c>
      <c r="I69" s="9">
        <v>67</v>
      </c>
      <c r="J69" s="9">
        <v>66</v>
      </c>
      <c r="K69" s="9">
        <v>64</v>
      </c>
      <c r="L69" s="11">
        <v>0</v>
      </c>
    </row>
    <row r="70" spans="1:12" x14ac:dyDescent="0.35">
      <c r="A70" s="9" t="s">
        <v>227</v>
      </c>
      <c r="B70" s="9" t="s">
        <v>228</v>
      </c>
      <c r="C70" s="9" t="s">
        <v>89</v>
      </c>
      <c r="D70" s="9" t="s">
        <v>75</v>
      </c>
      <c r="E70" s="9" t="s">
        <v>76</v>
      </c>
      <c r="F70" s="10">
        <v>45096</v>
      </c>
      <c r="G70" s="9">
        <v>82</v>
      </c>
      <c r="H70" s="9">
        <v>72</v>
      </c>
      <c r="I70" s="9">
        <v>97</v>
      </c>
      <c r="J70" s="9">
        <v>79</v>
      </c>
      <c r="K70" s="9">
        <v>55</v>
      </c>
      <c r="L70" s="11">
        <v>0</v>
      </c>
    </row>
    <row r="71" spans="1:12" x14ac:dyDescent="0.35">
      <c r="A71" s="9" t="s">
        <v>229</v>
      </c>
      <c r="B71" s="9" t="s">
        <v>230</v>
      </c>
      <c r="C71" s="9" t="s">
        <v>78</v>
      </c>
      <c r="D71" s="9" t="s">
        <v>75</v>
      </c>
      <c r="E71" s="9" t="s">
        <v>83</v>
      </c>
      <c r="F71" s="10">
        <v>45097</v>
      </c>
      <c r="G71" s="9">
        <v>46</v>
      </c>
      <c r="H71" s="9">
        <v>37</v>
      </c>
      <c r="I71" s="9">
        <v>23</v>
      </c>
      <c r="J71" s="9">
        <v>32</v>
      </c>
      <c r="K71" s="9">
        <v>77</v>
      </c>
      <c r="L71" s="11">
        <v>0</v>
      </c>
    </row>
    <row r="72" spans="1:12" x14ac:dyDescent="0.35">
      <c r="A72" s="9" t="s">
        <v>231</v>
      </c>
      <c r="B72" s="9" t="s">
        <v>232</v>
      </c>
      <c r="C72" s="9" t="s">
        <v>89</v>
      </c>
      <c r="D72" s="9" t="s">
        <v>75</v>
      </c>
      <c r="E72" s="9" t="s">
        <v>76</v>
      </c>
      <c r="F72" s="10">
        <v>45098</v>
      </c>
      <c r="G72" s="9">
        <v>57</v>
      </c>
      <c r="H72" s="9">
        <v>14</v>
      </c>
      <c r="I72" s="9">
        <v>24</v>
      </c>
      <c r="J72" s="9">
        <v>39</v>
      </c>
      <c r="K72" s="9">
        <v>68</v>
      </c>
      <c r="L72" s="11">
        <v>0</v>
      </c>
    </row>
    <row r="73" spans="1:12" x14ac:dyDescent="0.35">
      <c r="A73" s="9" t="s">
        <v>233</v>
      </c>
      <c r="B73" s="9" t="s">
        <v>234</v>
      </c>
      <c r="C73" s="9" t="s">
        <v>74</v>
      </c>
      <c r="D73" s="9" t="s">
        <v>82</v>
      </c>
      <c r="E73" s="9" t="s">
        <v>83</v>
      </c>
      <c r="F73" s="10">
        <v>45098</v>
      </c>
      <c r="G73" s="9">
        <v>47</v>
      </c>
      <c r="H73" s="9">
        <v>30</v>
      </c>
      <c r="I73" s="9">
        <v>53</v>
      </c>
      <c r="J73" s="9">
        <v>34</v>
      </c>
      <c r="K73" s="9">
        <v>86</v>
      </c>
      <c r="L73" s="11">
        <v>0</v>
      </c>
    </row>
    <row r="74" spans="1:12" x14ac:dyDescent="0.35">
      <c r="A74" s="9" t="s">
        <v>235</v>
      </c>
      <c r="B74" s="9" t="s">
        <v>236</v>
      </c>
      <c r="C74" s="9" t="s">
        <v>95</v>
      </c>
      <c r="D74" s="9" t="s">
        <v>75</v>
      </c>
      <c r="E74" s="9" t="s">
        <v>76</v>
      </c>
      <c r="F74" s="10">
        <v>45099</v>
      </c>
      <c r="G74" s="9">
        <v>88</v>
      </c>
      <c r="H74" s="9">
        <v>85</v>
      </c>
      <c r="I74" s="9">
        <v>98</v>
      </c>
      <c r="J74" s="9">
        <v>100</v>
      </c>
      <c r="K74" s="9">
        <v>71</v>
      </c>
      <c r="L74" s="11">
        <v>0</v>
      </c>
    </row>
    <row r="75" spans="1:12" x14ac:dyDescent="0.35">
      <c r="A75" s="9" t="s">
        <v>237</v>
      </c>
      <c r="B75" s="9" t="s">
        <v>238</v>
      </c>
      <c r="C75" s="9" t="s">
        <v>74</v>
      </c>
      <c r="D75" s="9" t="s">
        <v>82</v>
      </c>
      <c r="E75" s="9" t="s">
        <v>83</v>
      </c>
      <c r="F75" s="10">
        <v>45099</v>
      </c>
      <c r="G75" s="9">
        <v>100</v>
      </c>
      <c r="H75" s="9">
        <v>83</v>
      </c>
      <c r="I75" s="9">
        <v>87</v>
      </c>
      <c r="J75" s="9">
        <v>97</v>
      </c>
      <c r="K75" s="9">
        <v>78</v>
      </c>
      <c r="L75" s="11">
        <v>0</v>
      </c>
    </row>
    <row r="76" spans="1:12" x14ac:dyDescent="0.35">
      <c r="A76" s="9" t="s">
        <v>239</v>
      </c>
      <c r="B76" s="9" t="s">
        <v>240</v>
      </c>
      <c r="C76" s="9" t="s">
        <v>89</v>
      </c>
      <c r="D76" s="9" t="s">
        <v>75</v>
      </c>
      <c r="E76" s="9" t="s">
        <v>83</v>
      </c>
      <c r="F76" s="10">
        <v>45103</v>
      </c>
      <c r="G76" s="9">
        <v>68</v>
      </c>
      <c r="H76" s="9">
        <v>48</v>
      </c>
      <c r="I76" s="9">
        <v>50</v>
      </c>
      <c r="J76" s="9">
        <v>75</v>
      </c>
      <c r="K76" s="9">
        <v>75</v>
      </c>
      <c r="L76" s="11">
        <v>0</v>
      </c>
    </row>
    <row r="77" spans="1:12" x14ac:dyDescent="0.35">
      <c r="A77" s="9" t="s">
        <v>241</v>
      </c>
      <c r="B77" s="9" t="s">
        <v>242</v>
      </c>
      <c r="C77" s="9" t="s">
        <v>95</v>
      </c>
      <c r="D77" s="9" t="s">
        <v>75</v>
      </c>
      <c r="E77" s="9" t="s">
        <v>76</v>
      </c>
      <c r="F77" s="10">
        <v>45103</v>
      </c>
      <c r="G77" s="9">
        <v>55</v>
      </c>
      <c r="H77" s="9">
        <v>49</v>
      </c>
      <c r="I77" s="9">
        <v>51</v>
      </c>
      <c r="J77" s="9">
        <v>70</v>
      </c>
      <c r="K77" s="9">
        <v>67</v>
      </c>
      <c r="L77" s="11">
        <v>0</v>
      </c>
    </row>
    <row r="78" spans="1:12" x14ac:dyDescent="0.35">
      <c r="A78" s="9" t="s">
        <v>243</v>
      </c>
      <c r="B78" s="9" t="s">
        <v>244</v>
      </c>
      <c r="C78" s="9" t="s">
        <v>78</v>
      </c>
      <c r="D78" s="9" t="s">
        <v>82</v>
      </c>
      <c r="E78" s="9" t="s">
        <v>83</v>
      </c>
      <c r="F78" s="10">
        <v>45103</v>
      </c>
      <c r="G78" s="9">
        <v>66</v>
      </c>
      <c r="H78" s="9">
        <v>53</v>
      </c>
      <c r="I78" s="9">
        <v>58</v>
      </c>
      <c r="J78" s="9">
        <v>84</v>
      </c>
      <c r="K78" s="9">
        <v>71</v>
      </c>
      <c r="L78" s="11">
        <v>10000</v>
      </c>
    </row>
    <row r="79" spans="1:12" x14ac:dyDescent="0.35">
      <c r="A79" s="9" t="s">
        <v>245</v>
      </c>
      <c r="B79" s="9" t="s">
        <v>246</v>
      </c>
      <c r="C79" s="9" t="s">
        <v>85</v>
      </c>
      <c r="D79" s="9" t="s">
        <v>82</v>
      </c>
      <c r="E79" s="9" t="s">
        <v>76</v>
      </c>
      <c r="F79" s="10">
        <v>45104</v>
      </c>
      <c r="G79" s="9">
        <v>76</v>
      </c>
      <c r="H79" s="9">
        <v>72</v>
      </c>
      <c r="I79" s="9">
        <v>25</v>
      </c>
      <c r="J79" s="9">
        <v>68</v>
      </c>
      <c r="K79" s="9">
        <v>68</v>
      </c>
      <c r="L79" s="11">
        <v>10000</v>
      </c>
    </row>
    <row r="80" spans="1:12" x14ac:dyDescent="0.35">
      <c r="A80" s="9" t="s">
        <v>247</v>
      </c>
      <c r="B80" s="9" t="s">
        <v>226</v>
      </c>
      <c r="C80" s="9" t="s">
        <v>74</v>
      </c>
      <c r="D80" s="9" t="s">
        <v>75</v>
      </c>
      <c r="E80" s="9" t="s">
        <v>83</v>
      </c>
      <c r="F80" s="10">
        <v>45105</v>
      </c>
      <c r="G80" s="9">
        <v>67</v>
      </c>
      <c r="H80" s="9">
        <v>67</v>
      </c>
      <c r="I80" s="9">
        <v>73</v>
      </c>
      <c r="J80" s="9">
        <v>51</v>
      </c>
      <c r="K80" s="9">
        <v>100</v>
      </c>
      <c r="L80" s="11">
        <v>0</v>
      </c>
    </row>
    <row r="81" spans="1:12" x14ac:dyDescent="0.35">
      <c r="A81" s="9" t="s">
        <v>248</v>
      </c>
      <c r="B81" s="9" t="s">
        <v>249</v>
      </c>
      <c r="C81" s="9" t="s">
        <v>95</v>
      </c>
      <c r="D81" s="9" t="s">
        <v>82</v>
      </c>
      <c r="E81" s="9" t="s">
        <v>83</v>
      </c>
      <c r="F81" s="10">
        <v>45105</v>
      </c>
      <c r="G81" s="9">
        <v>70</v>
      </c>
      <c r="H81" s="9">
        <v>49</v>
      </c>
      <c r="I81" s="9">
        <v>78</v>
      </c>
      <c r="J81" s="9">
        <v>59</v>
      </c>
      <c r="K81" s="9">
        <v>62</v>
      </c>
      <c r="L81" s="11">
        <v>0</v>
      </c>
    </row>
    <row r="82" spans="1:12" x14ac:dyDescent="0.35">
      <c r="A82" s="9" t="s">
        <v>250</v>
      </c>
      <c r="B82" s="9" t="s">
        <v>251</v>
      </c>
      <c r="C82" s="9" t="s">
        <v>85</v>
      </c>
      <c r="D82" s="9" t="s">
        <v>75</v>
      </c>
      <c r="E82" s="9" t="s">
        <v>83</v>
      </c>
      <c r="F82" s="10">
        <v>45106</v>
      </c>
      <c r="G82" s="9">
        <v>74</v>
      </c>
      <c r="H82" s="9">
        <v>74</v>
      </c>
      <c r="I82" s="9">
        <v>50</v>
      </c>
      <c r="J82" s="9">
        <v>66</v>
      </c>
      <c r="K82" s="9">
        <v>75</v>
      </c>
      <c r="L82" s="11">
        <v>0</v>
      </c>
    </row>
    <row r="83" spans="1:12" x14ac:dyDescent="0.35">
      <c r="A83" s="9" t="s">
        <v>252</v>
      </c>
      <c r="B83" s="9" t="s">
        <v>253</v>
      </c>
      <c r="C83" s="9" t="s">
        <v>89</v>
      </c>
      <c r="D83" s="9" t="s">
        <v>75</v>
      </c>
      <c r="E83" s="9" t="s">
        <v>83</v>
      </c>
      <c r="F83" s="10">
        <v>45107</v>
      </c>
      <c r="G83" s="9">
        <v>60</v>
      </c>
      <c r="H83" s="9">
        <v>64</v>
      </c>
      <c r="I83" s="9">
        <v>64</v>
      </c>
      <c r="J83" s="9">
        <v>51</v>
      </c>
      <c r="K83" s="9">
        <v>80</v>
      </c>
      <c r="L83" s="11">
        <v>0</v>
      </c>
    </row>
    <row r="84" spans="1:12" x14ac:dyDescent="0.35">
      <c r="A84" s="9" t="s">
        <v>254</v>
      </c>
      <c r="B84" s="9" t="s">
        <v>144</v>
      </c>
      <c r="C84" s="9" t="s">
        <v>85</v>
      </c>
      <c r="D84" s="9" t="s">
        <v>82</v>
      </c>
      <c r="E84" s="9" t="s">
        <v>76</v>
      </c>
      <c r="F84" s="10">
        <v>45109</v>
      </c>
      <c r="G84" s="9">
        <v>58</v>
      </c>
      <c r="H84" s="9">
        <v>48</v>
      </c>
      <c r="I84" s="9">
        <v>48</v>
      </c>
      <c r="J84" s="9">
        <v>55</v>
      </c>
      <c r="K84" s="9">
        <v>75</v>
      </c>
      <c r="L84" s="11">
        <v>0</v>
      </c>
    </row>
    <row r="85" spans="1:12" x14ac:dyDescent="0.35">
      <c r="A85" s="9" t="s">
        <v>255</v>
      </c>
      <c r="B85" s="9" t="s">
        <v>256</v>
      </c>
      <c r="C85" s="9" t="s">
        <v>95</v>
      </c>
      <c r="D85" s="9" t="s">
        <v>75</v>
      </c>
      <c r="E85" s="9" t="s">
        <v>76</v>
      </c>
      <c r="F85" s="10">
        <v>45109</v>
      </c>
      <c r="G85" s="9">
        <v>25</v>
      </c>
      <c r="H85" s="9">
        <v>59</v>
      </c>
      <c r="I85" s="9">
        <v>40</v>
      </c>
      <c r="J85" s="9">
        <v>35</v>
      </c>
      <c r="K85" s="9">
        <v>72</v>
      </c>
      <c r="L85" s="11">
        <v>20000</v>
      </c>
    </row>
    <row r="86" spans="1:12" x14ac:dyDescent="0.35">
      <c r="A86" s="9" t="s">
        <v>257</v>
      </c>
      <c r="B86" s="9" t="s">
        <v>173</v>
      </c>
      <c r="C86" s="9" t="s">
        <v>78</v>
      </c>
      <c r="D86" s="9" t="s">
        <v>75</v>
      </c>
      <c r="E86" s="9" t="s">
        <v>76</v>
      </c>
      <c r="F86" s="10">
        <v>45110</v>
      </c>
      <c r="G86" s="9">
        <v>52</v>
      </c>
      <c r="H86" s="9">
        <v>92</v>
      </c>
      <c r="I86" s="9">
        <v>91</v>
      </c>
      <c r="J86" s="9">
        <v>58</v>
      </c>
      <c r="K86" s="9">
        <v>93</v>
      </c>
      <c r="L86" s="11">
        <v>30000</v>
      </c>
    </row>
    <row r="87" spans="1:12" x14ac:dyDescent="0.35">
      <c r="A87" s="9" t="s">
        <v>258</v>
      </c>
      <c r="B87" s="9" t="s">
        <v>259</v>
      </c>
      <c r="C87" s="9" t="s">
        <v>85</v>
      </c>
      <c r="D87" s="9" t="s">
        <v>75</v>
      </c>
      <c r="E87" s="9" t="s">
        <v>83</v>
      </c>
      <c r="F87" s="10">
        <v>45110</v>
      </c>
      <c r="G87" s="9">
        <v>12</v>
      </c>
      <c r="H87" s="9">
        <v>35</v>
      </c>
      <c r="I87" s="9">
        <v>57</v>
      </c>
      <c r="J87" s="9">
        <v>47</v>
      </c>
      <c r="K87" s="9">
        <v>85</v>
      </c>
      <c r="L87" s="11">
        <v>0</v>
      </c>
    </row>
    <row r="88" spans="1:12" x14ac:dyDescent="0.35">
      <c r="A88" s="9" t="s">
        <v>260</v>
      </c>
      <c r="B88" s="9" t="s">
        <v>261</v>
      </c>
      <c r="C88" s="9" t="s">
        <v>74</v>
      </c>
      <c r="D88" s="9" t="s">
        <v>82</v>
      </c>
      <c r="E88" s="9" t="s">
        <v>76</v>
      </c>
      <c r="F88" s="10">
        <v>45111</v>
      </c>
      <c r="G88" s="9">
        <v>56</v>
      </c>
      <c r="H88" s="9">
        <v>65</v>
      </c>
      <c r="I88" s="9">
        <v>62</v>
      </c>
      <c r="J88" s="9">
        <v>36</v>
      </c>
      <c r="K88" s="9">
        <v>92</v>
      </c>
      <c r="L88" s="11">
        <v>30000</v>
      </c>
    </row>
    <row r="89" spans="1:12" x14ac:dyDescent="0.35">
      <c r="A89" s="9" t="s">
        <v>262</v>
      </c>
      <c r="B89" s="9" t="s">
        <v>263</v>
      </c>
      <c r="C89" s="9" t="s">
        <v>78</v>
      </c>
      <c r="D89" s="9" t="s">
        <v>82</v>
      </c>
      <c r="E89" s="9" t="s">
        <v>83</v>
      </c>
      <c r="F89" s="10">
        <v>45112</v>
      </c>
      <c r="G89" s="9">
        <v>30</v>
      </c>
      <c r="H89" s="9">
        <v>17</v>
      </c>
      <c r="I89" s="9">
        <v>43</v>
      </c>
      <c r="J89" s="9">
        <v>34</v>
      </c>
      <c r="K89" s="9">
        <v>70</v>
      </c>
      <c r="L89" s="11">
        <v>0</v>
      </c>
    </row>
    <row r="90" spans="1:12" x14ac:dyDescent="0.35">
      <c r="A90" s="9" t="s">
        <v>264</v>
      </c>
      <c r="B90" s="9" t="s">
        <v>265</v>
      </c>
      <c r="C90" s="9" t="s">
        <v>74</v>
      </c>
      <c r="D90" s="9" t="s">
        <v>75</v>
      </c>
      <c r="E90" s="9" t="s">
        <v>76</v>
      </c>
      <c r="F90" s="10">
        <v>45113</v>
      </c>
      <c r="G90" s="9">
        <v>72</v>
      </c>
      <c r="H90" s="9">
        <v>76</v>
      </c>
      <c r="I90" s="9">
        <v>65</v>
      </c>
      <c r="J90" s="9">
        <v>73</v>
      </c>
      <c r="K90" s="9">
        <v>79</v>
      </c>
      <c r="L90" s="11">
        <v>0</v>
      </c>
    </row>
    <row r="91" spans="1:12" x14ac:dyDescent="0.35">
      <c r="A91" s="9" t="s">
        <v>266</v>
      </c>
      <c r="B91" s="9" t="s">
        <v>177</v>
      </c>
      <c r="C91" s="9" t="s">
        <v>74</v>
      </c>
      <c r="D91" s="9" t="s">
        <v>75</v>
      </c>
      <c r="E91" s="9" t="s">
        <v>83</v>
      </c>
      <c r="F91" s="10">
        <v>45118</v>
      </c>
      <c r="G91" s="9">
        <v>71</v>
      </c>
      <c r="H91" s="9">
        <v>69</v>
      </c>
      <c r="I91" s="9">
        <v>58</v>
      </c>
      <c r="J91" s="9">
        <v>59</v>
      </c>
      <c r="K91" s="9">
        <v>77</v>
      </c>
      <c r="L91" s="11">
        <v>0</v>
      </c>
    </row>
    <row r="92" spans="1:12" x14ac:dyDescent="0.35">
      <c r="A92" s="9" t="s">
        <v>267</v>
      </c>
      <c r="B92" s="9" t="s">
        <v>268</v>
      </c>
      <c r="C92" s="9" t="s">
        <v>78</v>
      </c>
      <c r="D92" s="9" t="s">
        <v>82</v>
      </c>
      <c r="E92" s="9" t="s">
        <v>76</v>
      </c>
      <c r="F92" s="10">
        <v>45121</v>
      </c>
      <c r="G92" s="9">
        <v>37</v>
      </c>
      <c r="H92" s="9">
        <v>36</v>
      </c>
      <c r="I92" s="9">
        <v>33</v>
      </c>
      <c r="J92" s="9">
        <v>33</v>
      </c>
      <c r="K92" s="9">
        <v>100</v>
      </c>
      <c r="L92" s="11">
        <v>20000</v>
      </c>
    </row>
    <row r="93" spans="1:12" x14ac:dyDescent="0.35">
      <c r="A93" s="9" t="s">
        <v>269</v>
      </c>
      <c r="B93" s="9" t="s">
        <v>270</v>
      </c>
      <c r="C93" s="9" t="s">
        <v>74</v>
      </c>
      <c r="D93" s="9" t="s">
        <v>82</v>
      </c>
      <c r="E93" s="9" t="s">
        <v>83</v>
      </c>
      <c r="F93" s="10">
        <v>45122</v>
      </c>
      <c r="G93" s="9">
        <v>98</v>
      </c>
      <c r="H93" s="9">
        <v>82</v>
      </c>
      <c r="I93" s="9">
        <v>82</v>
      </c>
      <c r="J93" s="9">
        <v>78</v>
      </c>
      <c r="K93" s="9">
        <v>55</v>
      </c>
      <c r="L93" s="11">
        <v>10000</v>
      </c>
    </row>
    <row r="94" spans="1:12" x14ac:dyDescent="0.35">
      <c r="A94" s="9" t="s">
        <v>271</v>
      </c>
      <c r="B94" s="9" t="s">
        <v>272</v>
      </c>
      <c r="C94" s="9" t="s">
        <v>89</v>
      </c>
      <c r="D94" s="9" t="s">
        <v>75</v>
      </c>
      <c r="E94" s="9" t="s">
        <v>76</v>
      </c>
      <c r="F94" s="10">
        <v>45122</v>
      </c>
      <c r="G94" s="9">
        <v>13</v>
      </c>
      <c r="H94" s="9">
        <v>20</v>
      </c>
      <c r="I94" s="9">
        <v>30</v>
      </c>
      <c r="J94" s="9">
        <v>14</v>
      </c>
      <c r="K94" s="9">
        <v>100</v>
      </c>
      <c r="L94" s="11">
        <v>0</v>
      </c>
    </row>
    <row r="95" spans="1:12" x14ac:dyDescent="0.35">
      <c r="A95" s="9" t="s">
        <v>273</v>
      </c>
      <c r="B95" s="9" t="s">
        <v>274</v>
      </c>
      <c r="C95" s="9" t="s">
        <v>78</v>
      </c>
      <c r="D95" s="9" t="s">
        <v>75</v>
      </c>
      <c r="E95" s="9" t="s">
        <v>83</v>
      </c>
      <c r="F95" s="10">
        <v>45124</v>
      </c>
      <c r="G95" s="9">
        <v>69</v>
      </c>
      <c r="H95" s="9">
        <v>33</v>
      </c>
      <c r="I95" s="9">
        <v>42</v>
      </c>
      <c r="J95" s="9">
        <v>41</v>
      </c>
      <c r="K95" s="9">
        <v>50</v>
      </c>
      <c r="L95" s="11">
        <v>0</v>
      </c>
    </row>
    <row r="96" spans="1:12" x14ac:dyDescent="0.35">
      <c r="A96" s="9" t="s">
        <v>275</v>
      </c>
      <c r="B96" s="9" t="s">
        <v>276</v>
      </c>
      <c r="C96" s="9" t="s">
        <v>78</v>
      </c>
      <c r="D96" s="9" t="s">
        <v>82</v>
      </c>
      <c r="E96" s="9" t="s">
        <v>83</v>
      </c>
      <c r="F96" s="10">
        <v>45125</v>
      </c>
      <c r="G96" s="9">
        <v>57</v>
      </c>
      <c r="H96" s="9">
        <v>34</v>
      </c>
      <c r="I96" s="9">
        <v>56</v>
      </c>
      <c r="J96" s="9">
        <v>56</v>
      </c>
      <c r="K96" s="9">
        <v>75</v>
      </c>
      <c r="L96" s="11">
        <v>0</v>
      </c>
    </row>
    <row r="97" spans="1:12" x14ac:dyDescent="0.35">
      <c r="A97" s="9" t="s">
        <v>277</v>
      </c>
      <c r="B97" s="9" t="s">
        <v>278</v>
      </c>
      <c r="C97" s="9" t="s">
        <v>89</v>
      </c>
      <c r="D97" s="9" t="s">
        <v>82</v>
      </c>
      <c r="E97" s="9" t="s">
        <v>83</v>
      </c>
      <c r="F97" s="10">
        <v>45126</v>
      </c>
      <c r="G97" s="9">
        <v>50</v>
      </c>
      <c r="H97" s="9">
        <v>62</v>
      </c>
      <c r="I97" s="9">
        <v>57</v>
      </c>
      <c r="J97" s="9">
        <v>50</v>
      </c>
      <c r="K97" s="9">
        <v>85</v>
      </c>
      <c r="L97" s="11">
        <v>0</v>
      </c>
    </row>
    <row r="98" spans="1:12" x14ac:dyDescent="0.35">
      <c r="A98" s="9" t="s">
        <v>279</v>
      </c>
      <c r="B98" s="9" t="s">
        <v>280</v>
      </c>
      <c r="C98" s="9" t="s">
        <v>95</v>
      </c>
      <c r="D98" s="9" t="s">
        <v>82</v>
      </c>
      <c r="E98" s="9" t="s">
        <v>83</v>
      </c>
      <c r="F98" s="10">
        <v>45130</v>
      </c>
      <c r="G98" s="9">
        <v>82</v>
      </c>
      <c r="H98" s="9">
        <v>86</v>
      </c>
      <c r="I98" s="9">
        <v>91</v>
      </c>
      <c r="J98" s="9">
        <v>100</v>
      </c>
      <c r="K98" s="9">
        <v>80</v>
      </c>
      <c r="L98" s="11">
        <v>0</v>
      </c>
    </row>
    <row r="99" spans="1:12" x14ac:dyDescent="0.35">
      <c r="A99" s="9" t="s">
        <v>281</v>
      </c>
      <c r="B99" s="9" t="s">
        <v>282</v>
      </c>
      <c r="C99" s="9" t="s">
        <v>78</v>
      </c>
      <c r="D99" s="9" t="s">
        <v>75</v>
      </c>
      <c r="E99" s="9" t="s">
        <v>76</v>
      </c>
      <c r="F99" s="10">
        <v>45137</v>
      </c>
      <c r="G99" s="9">
        <v>57</v>
      </c>
      <c r="H99" s="9">
        <v>62</v>
      </c>
      <c r="I99" s="9">
        <v>70</v>
      </c>
      <c r="J99" s="9">
        <v>59</v>
      </c>
      <c r="K99" s="9">
        <v>87</v>
      </c>
      <c r="L99" s="11">
        <v>20000</v>
      </c>
    </row>
    <row r="100" spans="1:12" x14ac:dyDescent="0.35">
      <c r="A100" s="9" t="s">
        <v>283</v>
      </c>
      <c r="B100" s="9" t="s">
        <v>146</v>
      </c>
      <c r="C100" s="9" t="s">
        <v>89</v>
      </c>
      <c r="D100" s="9" t="s">
        <v>82</v>
      </c>
      <c r="E100" s="9" t="s">
        <v>83</v>
      </c>
      <c r="F100" s="10">
        <v>45137</v>
      </c>
      <c r="G100" s="9">
        <v>79</v>
      </c>
      <c r="H100" s="9">
        <v>76</v>
      </c>
      <c r="I100" s="9">
        <v>74</v>
      </c>
      <c r="J100" s="9">
        <v>67</v>
      </c>
      <c r="K100" s="9">
        <v>67</v>
      </c>
      <c r="L100" s="11">
        <v>10000</v>
      </c>
    </row>
    <row r="101" spans="1:12" x14ac:dyDescent="0.35">
      <c r="A101" s="9" t="s">
        <v>284</v>
      </c>
      <c r="B101" s="9" t="s">
        <v>285</v>
      </c>
      <c r="C101" s="9" t="s">
        <v>85</v>
      </c>
      <c r="D101" s="9" t="s">
        <v>82</v>
      </c>
      <c r="E101" s="9" t="s">
        <v>83</v>
      </c>
      <c r="F101" s="10">
        <v>45140</v>
      </c>
      <c r="G101" s="9">
        <v>46</v>
      </c>
      <c r="H101" s="9">
        <v>63</v>
      </c>
      <c r="I101" s="9">
        <v>61</v>
      </c>
      <c r="J101" s="9">
        <v>75</v>
      </c>
      <c r="K101" s="9">
        <v>68</v>
      </c>
      <c r="L101" s="11">
        <v>0</v>
      </c>
    </row>
    <row r="102" spans="1:12" x14ac:dyDescent="0.35">
      <c r="A102" s="9" t="s">
        <v>286</v>
      </c>
      <c r="B102" s="9" t="s">
        <v>287</v>
      </c>
      <c r="C102" s="9" t="s">
        <v>89</v>
      </c>
      <c r="D102" s="9" t="s">
        <v>75</v>
      </c>
      <c r="E102" s="9" t="s">
        <v>83</v>
      </c>
      <c r="F102" s="10">
        <v>45141</v>
      </c>
      <c r="G102" s="9">
        <v>24</v>
      </c>
      <c r="H102" s="9">
        <v>48</v>
      </c>
      <c r="I102" s="9">
        <v>28</v>
      </c>
      <c r="J102" s="9">
        <v>38</v>
      </c>
      <c r="K102" s="9">
        <v>80</v>
      </c>
      <c r="L102" s="11">
        <v>0</v>
      </c>
    </row>
    <row r="103" spans="1:12" x14ac:dyDescent="0.35">
      <c r="A103" s="9" t="s">
        <v>288</v>
      </c>
      <c r="B103" s="9" t="s">
        <v>289</v>
      </c>
      <c r="C103" s="9" t="s">
        <v>78</v>
      </c>
      <c r="D103" s="9" t="s">
        <v>82</v>
      </c>
      <c r="E103" s="9" t="s">
        <v>83</v>
      </c>
      <c r="F103" s="10">
        <v>45141</v>
      </c>
      <c r="G103" s="9">
        <v>57</v>
      </c>
      <c r="H103" s="9">
        <v>34</v>
      </c>
      <c r="I103" s="9">
        <v>35</v>
      </c>
      <c r="J103" s="9">
        <v>41</v>
      </c>
      <c r="K103" s="9">
        <v>74</v>
      </c>
      <c r="L103" s="11">
        <v>0</v>
      </c>
    </row>
    <row r="104" spans="1:12" x14ac:dyDescent="0.35">
      <c r="A104" s="9" t="s">
        <v>290</v>
      </c>
      <c r="B104" s="9" t="s">
        <v>193</v>
      </c>
      <c r="C104" s="9" t="s">
        <v>74</v>
      </c>
      <c r="D104" s="9" t="s">
        <v>82</v>
      </c>
      <c r="E104" s="9" t="s">
        <v>76</v>
      </c>
      <c r="F104" s="10">
        <v>45143</v>
      </c>
      <c r="G104" s="9">
        <v>29</v>
      </c>
      <c r="H104" s="9">
        <v>14</v>
      </c>
      <c r="I104" s="9">
        <v>44</v>
      </c>
      <c r="J104" s="9">
        <v>43</v>
      </c>
      <c r="K104" s="9">
        <v>77</v>
      </c>
      <c r="L104" s="11">
        <v>10000</v>
      </c>
    </row>
    <row r="105" spans="1:12" x14ac:dyDescent="0.35">
      <c r="A105" s="9" t="s">
        <v>291</v>
      </c>
      <c r="B105" s="9" t="s">
        <v>292</v>
      </c>
      <c r="C105" s="9" t="s">
        <v>78</v>
      </c>
      <c r="D105" s="9" t="s">
        <v>82</v>
      </c>
      <c r="E105" s="9" t="s">
        <v>83</v>
      </c>
      <c r="F105" s="10">
        <v>45145</v>
      </c>
      <c r="G105" s="9">
        <v>69</v>
      </c>
      <c r="H105" s="9">
        <v>62</v>
      </c>
      <c r="I105" s="9">
        <v>50</v>
      </c>
      <c r="J105" s="9">
        <v>69</v>
      </c>
      <c r="K105" s="9">
        <v>98</v>
      </c>
      <c r="L105" s="11">
        <v>0</v>
      </c>
    </row>
    <row r="106" spans="1:12" x14ac:dyDescent="0.35">
      <c r="A106" s="9" t="s">
        <v>293</v>
      </c>
      <c r="B106" s="9" t="s">
        <v>294</v>
      </c>
      <c r="C106" s="9" t="s">
        <v>78</v>
      </c>
      <c r="D106" s="9" t="s">
        <v>75</v>
      </c>
      <c r="E106" s="9" t="s">
        <v>83</v>
      </c>
      <c r="F106" s="10">
        <v>45145</v>
      </c>
      <c r="G106" s="9">
        <v>66</v>
      </c>
      <c r="H106" s="9">
        <v>62</v>
      </c>
      <c r="I106" s="9">
        <v>53</v>
      </c>
      <c r="J106" s="9">
        <v>57</v>
      </c>
      <c r="K106" s="9">
        <v>62</v>
      </c>
      <c r="L106" s="11">
        <v>0</v>
      </c>
    </row>
    <row r="107" spans="1:12" x14ac:dyDescent="0.35">
      <c r="A107" s="9" t="s">
        <v>295</v>
      </c>
      <c r="B107" s="9" t="s">
        <v>296</v>
      </c>
      <c r="C107" s="9" t="s">
        <v>74</v>
      </c>
      <c r="D107" s="9" t="s">
        <v>82</v>
      </c>
      <c r="E107" s="9" t="s">
        <v>76</v>
      </c>
      <c r="F107" s="10">
        <v>45147</v>
      </c>
      <c r="G107" s="9">
        <v>36</v>
      </c>
      <c r="H107" s="9">
        <v>39</v>
      </c>
      <c r="I107" s="9">
        <v>43</v>
      </c>
      <c r="J107" s="9">
        <v>42</v>
      </c>
      <c r="K107" s="9">
        <v>93</v>
      </c>
      <c r="L107" s="11">
        <v>0</v>
      </c>
    </row>
    <row r="108" spans="1:12" x14ac:dyDescent="0.35">
      <c r="A108" s="9" t="s">
        <v>297</v>
      </c>
      <c r="B108" s="9" t="s">
        <v>140</v>
      </c>
      <c r="C108" s="9" t="s">
        <v>78</v>
      </c>
      <c r="D108" s="9" t="s">
        <v>75</v>
      </c>
      <c r="E108" s="9" t="s">
        <v>76</v>
      </c>
      <c r="F108" s="10">
        <v>45151</v>
      </c>
      <c r="G108" s="9">
        <v>78</v>
      </c>
      <c r="H108" s="9">
        <v>77</v>
      </c>
      <c r="I108" s="9">
        <v>54</v>
      </c>
      <c r="J108" s="9">
        <v>59</v>
      </c>
      <c r="K108" s="9">
        <v>92</v>
      </c>
      <c r="L108" s="11">
        <v>0</v>
      </c>
    </row>
    <row r="109" spans="1:12" x14ac:dyDescent="0.35">
      <c r="A109" s="9" t="s">
        <v>298</v>
      </c>
      <c r="B109" s="9" t="s">
        <v>299</v>
      </c>
      <c r="C109" s="9" t="s">
        <v>95</v>
      </c>
      <c r="D109" s="9" t="s">
        <v>82</v>
      </c>
      <c r="E109" s="9" t="s">
        <v>76</v>
      </c>
      <c r="F109" s="10">
        <v>45152</v>
      </c>
      <c r="G109" s="9">
        <v>30</v>
      </c>
      <c r="H109" s="9">
        <v>30</v>
      </c>
      <c r="I109" s="9">
        <v>34</v>
      </c>
      <c r="J109" s="9">
        <v>31</v>
      </c>
      <c r="K109" s="9">
        <v>62</v>
      </c>
      <c r="L109" s="11">
        <v>0</v>
      </c>
    </row>
    <row r="110" spans="1:12" x14ac:dyDescent="0.35">
      <c r="A110" s="9" t="s">
        <v>300</v>
      </c>
      <c r="B110" s="9" t="s">
        <v>164</v>
      </c>
      <c r="C110" s="9" t="s">
        <v>95</v>
      </c>
      <c r="D110" s="9" t="s">
        <v>82</v>
      </c>
      <c r="E110" s="9" t="s">
        <v>76</v>
      </c>
      <c r="F110" s="10">
        <v>45152</v>
      </c>
      <c r="G110" s="9">
        <v>73</v>
      </c>
      <c r="H110" s="9">
        <v>79</v>
      </c>
      <c r="I110" s="9">
        <v>76</v>
      </c>
      <c r="J110" s="9">
        <v>93</v>
      </c>
      <c r="K110" s="9">
        <v>100</v>
      </c>
      <c r="L110" s="11">
        <v>0</v>
      </c>
    </row>
    <row r="111" spans="1:12" x14ac:dyDescent="0.35">
      <c r="A111" s="9" t="s">
        <v>301</v>
      </c>
      <c r="B111" s="9" t="s">
        <v>302</v>
      </c>
      <c r="C111" s="9" t="s">
        <v>85</v>
      </c>
      <c r="D111" s="9" t="s">
        <v>82</v>
      </c>
      <c r="E111" s="9" t="s">
        <v>76</v>
      </c>
      <c r="F111" s="10">
        <v>45152</v>
      </c>
      <c r="G111" s="9">
        <v>44</v>
      </c>
      <c r="H111" s="9">
        <v>68</v>
      </c>
      <c r="I111" s="9">
        <v>71</v>
      </c>
      <c r="J111" s="9">
        <v>56</v>
      </c>
      <c r="K111" s="9">
        <v>71</v>
      </c>
      <c r="L111" s="11">
        <v>10000</v>
      </c>
    </row>
    <row r="112" spans="1:12" x14ac:dyDescent="0.35">
      <c r="A112" s="9" t="s">
        <v>303</v>
      </c>
      <c r="B112" s="9" t="s">
        <v>304</v>
      </c>
      <c r="C112" s="9" t="s">
        <v>78</v>
      </c>
      <c r="D112" s="9" t="s">
        <v>75</v>
      </c>
      <c r="E112" s="9" t="s">
        <v>76</v>
      </c>
      <c r="F112" s="10">
        <v>45152</v>
      </c>
      <c r="G112" s="9">
        <v>86</v>
      </c>
      <c r="H112" s="9">
        <v>71</v>
      </c>
      <c r="I112" s="9">
        <v>91</v>
      </c>
      <c r="J112" s="9">
        <v>53</v>
      </c>
      <c r="K112" s="9">
        <v>83</v>
      </c>
      <c r="L112" s="11">
        <v>0</v>
      </c>
    </row>
    <row r="113" spans="1:12" x14ac:dyDescent="0.35">
      <c r="A113" s="9" t="s">
        <v>305</v>
      </c>
      <c r="B113" s="9" t="s">
        <v>289</v>
      </c>
      <c r="C113" s="9" t="s">
        <v>74</v>
      </c>
      <c r="D113" s="9" t="s">
        <v>82</v>
      </c>
      <c r="E113" s="9" t="s">
        <v>76</v>
      </c>
      <c r="F113" s="10">
        <v>45153</v>
      </c>
      <c r="G113" s="9">
        <v>71</v>
      </c>
      <c r="H113" s="9">
        <v>59</v>
      </c>
      <c r="I113" s="9">
        <v>78</v>
      </c>
      <c r="J113" s="9">
        <v>61</v>
      </c>
      <c r="K113" s="9">
        <v>80</v>
      </c>
      <c r="L113" s="11">
        <v>0</v>
      </c>
    </row>
    <row r="114" spans="1:12" x14ac:dyDescent="0.35">
      <c r="A114" s="9" t="s">
        <v>306</v>
      </c>
      <c r="B114" s="9" t="s">
        <v>307</v>
      </c>
      <c r="C114" s="9" t="s">
        <v>78</v>
      </c>
      <c r="D114" s="9" t="s">
        <v>82</v>
      </c>
      <c r="E114" s="9" t="s">
        <v>83</v>
      </c>
      <c r="F114" s="10">
        <v>45154</v>
      </c>
      <c r="G114" s="9">
        <v>97</v>
      </c>
      <c r="H114" s="9">
        <v>89</v>
      </c>
      <c r="I114" s="9">
        <v>82</v>
      </c>
      <c r="J114" s="9">
        <v>74</v>
      </c>
      <c r="K114" s="9">
        <v>71</v>
      </c>
      <c r="L114" s="11">
        <v>0</v>
      </c>
    </row>
    <row r="115" spans="1:12" x14ac:dyDescent="0.35">
      <c r="A115" s="9" t="s">
        <v>308</v>
      </c>
      <c r="B115" s="9" t="s">
        <v>309</v>
      </c>
      <c r="C115" s="9" t="s">
        <v>74</v>
      </c>
      <c r="D115" s="9" t="s">
        <v>82</v>
      </c>
      <c r="E115" s="9" t="s">
        <v>83</v>
      </c>
      <c r="F115" s="10">
        <v>45154</v>
      </c>
      <c r="G115" s="9">
        <v>66</v>
      </c>
      <c r="H115" s="9">
        <v>71</v>
      </c>
      <c r="I115" s="9">
        <v>85</v>
      </c>
      <c r="J115" s="9">
        <v>58</v>
      </c>
      <c r="K115" s="9">
        <v>100</v>
      </c>
      <c r="L115" s="11">
        <v>0</v>
      </c>
    </row>
    <row r="116" spans="1:12" x14ac:dyDescent="0.35">
      <c r="A116" s="9" t="s">
        <v>310</v>
      </c>
      <c r="B116" s="9" t="s">
        <v>311</v>
      </c>
      <c r="C116" s="9" t="s">
        <v>74</v>
      </c>
      <c r="D116" s="9" t="s">
        <v>75</v>
      </c>
      <c r="E116" s="9" t="s">
        <v>83</v>
      </c>
      <c r="F116" s="10">
        <v>45154</v>
      </c>
      <c r="G116" s="9">
        <v>69</v>
      </c>
      <c r="H116" s="9">
        <v>33</v>
      </c>
      <c r="I116" s="9">
        <v>70</v>
      </c>
      <c r="J116" s="9">
        <v>44</v>
      </c>
      <c r="K116" s="9">
        <v>100</v>
      </c>
      <c r="L116" s="11">
        <v>0</v>
      </c>
    </row>
    <row r="117" spans="1:12" x14ac:dyDescent="0.35">
      <c r="A117" s="9" t="s">
        <v>312</v>
      </c>
      <c r="B117" s="9" t="s">
        <v>138</v>
      </c>
      <c r="C117" s="9" t="s">
        <v>95</v>
      </c>
      <c r="D117" s="9" t="s">
        <v>75</v>
      </c>
      <c r="E117" s="9" t="s">
        <v>83</v>
      </c>
      <c r="F117" s="10">
        <v>45155</v>
      </c>
      <c r="G117" s="9">
        <v>50</v>
      </c>
      <c r="H117" s="9">
        <v>34</v>
      </c>
      <c r="I117" s="9">
        <v>42</v>
      </c>
      <c r="J117" s="9">
        <v>46</v>
      </c>
      <c r="K117" s="9">
        <v>81</v>
      </c>
      <c r="L117" s="11">
        <v>0</v>
      </c>
    </row>
    <row r="118" spans="1:12" x14ac:dyDescent="0.35">
      <c r="A118" s="9" t="s">
        <v>313</v>
      </c>
      <c r="B118" s="9" t="s">
        <v>314</v>
      </c>
      <c r="C118" s="9" t="s">
        <v>89</v>
      </c>
      <c r="D118" s="9" t="s">
        <v>82</v>
      </c>
      <c r="E118" s="9" t="s">
        <v>76</v>
      </c>
      <c r="F118" s="10">
        <v>45156</v>
      </c>
      <c r="G118" s="9">
        <v>51</v>
      </c>
      <c r="H118" s="9">
        <v>70</v>
      </c>
      <c r="I118" s="9">
        <v>57</v>
      </c>
      <c r="J118" s="9">
        <v>46</v>
      </c>
      <c r="K118" s="9">
        <v>87</v>
      </c>
      <c r="L118" s="11">
        <v>0</v>
      </c>
    </row>
    <row r="119" spans="1:12" x14ac:dyDescent="0.35">
      <c r="A119" s="9" t="s">
        <v>315</v>
      </c>
      <c r="B119" s="9" t="s">
        <v>316</v>
      </c>
      <c r="C119" s="9" t="s">
        <v>74</v>
      </c>
      <c r="D119" s="9" t="s">
        <v>82</v>
      </c>
      <c r="E119" s="9" t="s">
        <v>83</v>
      </c>
      <c r="F119" s="10">
        <v>45156</v>
      </c>
      <c r="G119" s="9">
        <v>98</v>
      </c>
      <c r="H119" s="9">
        <v>72</v>
      </c>
      <c r="I119" s="9">
        <v>100</v>
      </c>
      <c r="J119" s="9">
        <v>62</v>
      </c>
      <c r="K119" s="9">
        <v>79</v>
      </c>
      <c r="L119" s="11">
        <v>0</v>
      </c>
    </row>
    <row r="120" spans="1:12" x14ac:dyDescent="0.35">
      <c r="A120" s="9" t="s">
        <v>317</v>
      </c>
      <c r="B120" s="9" t="s">
        <v>318</v>
      </c>
      <c r="C120" s="9" t="s">
        <v>89</v>
      </c>
      <c r="D120" s="9" t="s">
        <v>75</v>
      </c>
      <c r="E120" s="9" t="s">
        <v>76</v>
      </c>
      <c r="F120" s="10">
        <v>45156</v>
      </c>
      <c r="G120" s="9">
        <v>86</v>
      </c>
      <c r="H120" s="9">
        <v>59</v>
      </c>
      <c r="I120" s="9">
        <v>60</v>
      </c>
      <c r="J120" s="9">
        <v>76</v>
      </c>
      <c r="K120" s="9">
        <v>97</v>
      </c>
      <c r="L120" s="11">
        <v>0</v>
      </c>
    </row>
    <row r="121" spans="1:12" x14ac:dyDescent="0.35">
      <c r="A121" s="9" t="s">
        <v>319</v>
      </c>
      <c r="B121" s="9" t="s">
        <v>320</v>
      </c>
      <c r="C121" s="9" t="s">
        <v>89</v>
      </c>
      <c r="D121" s="9" t="s">
        <v>75</v>
      </c>
      <c r="E121" s="9" t="s">
        <v>76</v>
      </c>
      <c r="F121" s="10">
        <v>45159</v>
      </c>
      <c r="G121" s="9">
        <v>88</v>
      </c>
      <c r="H121" s="9">
        <v>68</v>
      </c>
      <c r="I121" s="9">
        <v>58</v>
      </c>
      <c r="J121" s="9">
        <v>67</v>
      </c>
      <c r="K121" s="9">
        <v>87</v>
      </c>
      <c r="L121" s="11">
        <v>10000</v>
      </c>
    </row>
    <row r="122" spans="1:12" x14ac:dyDescent="0.35">
      <c r="A122" s="9" t="s">
        <v>321</v>
      </c>
      <c r="B122" s="9" t="s">
        <v>322</v>
      </c>
      <c r="C122" s="9" t="s">
        <v>95</v>
      </c>
      <c r="D122" s="9" t="s">
        <v>75</v>
      </c>
      <c r="E122" s="9" t="s">
        <v>76</v>
      </c>
      <c r="F122" s="10">
        <v>45164</v>
      </c>
      <c r="G122" s="9">
        <v>35</v>
      </c>
      <c r="H122" s="9">
        <v>20</v>
      </c>
      <c r="I122" s="9">
        <v>27</v>
      </c>
      <c r="J122" s="9">
        <v>30</v>
      </c>
      <c r="K122" s="9">
        <v>78</v>
      </c>
      <c r="L122" s="11">
        <v>0</v>
      </c>
    </row>
    <row r="123" spans="1:12" x14ac:dyDescent="0.35">
      <c r="A123" s="9" t="s">
        <v>323</v>
      </c>
      <c r="B123" s="9" t="s">
        <v>324</v>
      </c>
      <c r="C123" s="9" t="s">
        <v>85</v>
      </c>
      <c r="D123" s="9" t="s">
        <v>82</v>
      </c>
      <c r="E123" s="9" t="s">
        <v>76</v>
      </c>
      <c r="F123" s="10">
        <v>45165</v>
      </c>
      <c r="G123" s="9">
        <v>63</v>
      </c>
      <c r="H123" s="9">
        <v>64</v>
      </c>
      <c r="I123" s="9">
        <v>77</v>
      </c>
      <c r="J123" s="9">
        <v>59</v>
      </c>
      <c r="K123" s="9">
        <v>84</v>
      </c>
      <c r="L123" s="11">
        <v>0</v>
      </c>
    </row>
    <row r="124" spans="1:12" x14ac:dyDescent="0.35">
      <c r="A124" s="9" t="s">
        <v>325</v>
      </c>
      <c r="B124" s="9" t="s">
        <v>326</v>
      </c>
      <c r="C124" s="9" t="s">
        <v>74</v>
      </c>
      <c r="D124" s="9" t="s">
        <v>82</v>
      </c>
      <c r="E124" s="9" t="s">
        <v>76</v>
      </c>
      <c r="F124" s="10">
        <v>45165</v>
      </c>
      <c r="G124" s="9">
        <v>73</v>
      </c>
      <c r="H124" s="9">
        <v>77</v>
      </c>
      <c r="I124" s="9">
        <v>81</v>
      </c>
      <c r="J124" s="9">
        <v>66</v>
      </c>
      <c r="K124" s="9">
        <v>68</v>
      </c>
      <c r="L124" s="11">
        <v>0</v>
      </c>
    </row>
    <row r="125" spans="1:12" x14ac:dyDescent="0.35">
      <c r="A125" s="9" t="s">
        <v>327</v>
      </c>
      <c r="B125" s="9" t="s">
        <v>328</v>
      </c>
      <c r="C125" s="9" t="s">
        <v>85</v>
      </c>
      <c r="D125" s="9" t="s">
        <v>75</v>
      </c>
      <c r="E125" s="9" t="s">
        <v>83</v>
      </c>
      <c r="F125" s="10">
        <v>45165</v>
      </c>
      <c r="G125" s="9">
        <v>60</v>
      </c>
      <c r="H125" s="9">
        <v>100</v>
      </c>
      <c r="I125" s="9">
        <v>81</v>
      </c>
      <c r="J125" s="9">
        <v>59</v>
      </c>
      <c r="K125" s="9">
        <v>98</v>
      </c>
      <c r="L125" s="11">
        <v>20000</v>
      </c>
    </row>
    <row r="126" spans="1:12" x14ac:dyDescent="0.35">
      <c r="A126" s="9" t="s">
        <v>329</v>
      </c>
      <c r="B126" s="9" t="s">
        <v>330</v>
      </c>
      <c r="C126" s="9" t="s">
        <v>85</v>
      </c>
      <c r="D126" s="9" t="s">
        <v>75</v>
      </c>
      <c r="E126" s="9" t="s">
        <v>83</v>
      </c>
      <c r="F126" s="10">
        <v>45459</v>
      </c>
      <c r="G126" s="9">
        <v>100</v>
      </c>
      <c r="H126" s="9">
        <v>91</v>
      </c>
      <c r="I126" s="9">
        <v>89</v>
      </c>
      <c r="J126" s="9">
        <v>88</v>
      </c>
      <c r="K126" s="9">
        <v>74</v>
      </c>
      <c r="L126" s="11">
        <v>0</v>
      </c>
    </row>
    <row r="127" spans="1:12" x14ac:dyDescent="0.35">
      <c r="A127" s="9" t="s">
        <v>331</v>
      </c>
      <c r="B127" s="9" t="s">
        <v>332</v>
      </c>
      <c r="C127" s="9" t="s">
        <v>78</v>
      </c>
      <c r="D127" s="9" t="s">
        <v>75</v>
      </c>
      <c r="E127" s="9" t="s">
        <v>76</v>
      </c>
      <c r="F127" s="10">
        <v>45460</v>
      </c>
      <c r="G127" s="9">
        <v>85</v>
      </c>
      <c r="H127" s="9">
        <v>77</v>
      </c>
      <c r="I127" s="9">
        <v>100</v>
      </c>
      <c r="J127" s="9">
        <v>95</v>
      </c>
      <c r="K127" s="9">
        <v>91</v>
      </c>
      <c r="L127" s="11">
        <v>20000</v>
      </c>
    </row>
    <row r="128" spans="1:12" x14ac:dyDescent="0.35">
      <c r="A128" s="9" t="s">
        <v>333</v>
      </c>
      <c r="B128" s="9" t="s">
        <v>334</v>
      </c>
      <c r="C128" s="9" t="s">
        <v>85</v>
      </c>
      <c r="D128" s="9" t="s">
        <v>82</v>
      </c>
      <c r="E128" s="9" t="s">
        <v>76</v>
      </c>
      <c r="F128" s="10">
        <v>45460</v>
      </c>
      <c r="G128" s="9">
        <v>100</v>
      </c>
      <c r="H128" s="9">
        <v>100</v>
      </c>
      <c r="I128" s="9">
        <v>83</v>
      </c>
      <c r="J128" s="9">
        <v>92</v>
      </c>
      <c r="K128" s="9">
        <v>89</v>
      </c>
      <c r="L128" s="11">
        <v>10000</v>
      </c>
    </row>
    <row r="129" spans="1:12" x14ac:dyDescent="0.35">
      <c r="A129" s="9" t="s">
        <v>335</v>
      </c>
      <c r="B129" s="9" t="s">
        <v>122</v>
      </c>
      <c r="C129" s="9" t="s">
        <v>95</v>
      </c>
      <c r="D129" s="9" t="s">
        <v>75</v>
      </c>
      <c r="E129" s="9" t="s">
        <v>83</v>
      </c>
      <c r="F129" s="10">
        <v>45462</v>
      </c>
      <c r="G129" s="9">
        <v>66</v>
      </c>
      <c r="H129" s="9">
        <v>52</v>
      </c>
      <c r="I129" s="9">
        <v>62</v>
      </c>
      <c r="J129" s="9">
        <v>64</v>
      </c>
      <c r="K129" s="9">
        <v>98</v>
      </c>
      <c r="L129" s="11">
        <v>0</v>
      </c>
    </row>
    <row r="130" spans="1:12" x14ac:dyDescent="0.35">
      <c r="A130" s="9" t="s">
        <v>336</v>
      </c>
      <c r="B130" s="9" t="s">
        <v>337</v>
      </c>
      <c r="C130" s="9" t="s">
        <v>89</v>
      </c>
      <c r="D130" s="9" t="s">
        <v>82</v>
      </c>
      <c r="E130" s="9" t="s">
        <v>83</v>
      </c>
      <c r="F130" s="10">
        <v>45464</v>
      </c>
      <c r="G130" s="9">
        <v>43</v>
      </c>
      <c r="H130" s="9">
        <v>57</v>
      </c>
      <c r="I130" s="9">
        <v>37</v>
      </c>
      <c r="J130" s="9">
        <v>67</v>
      </c>
      <c r="K130" s="9">
        <v>85</v>
      </c>
      <c r="L130" s="11">
        <v>0</v>
      </c>
    </row>
    <row r="131" spans="1:12" x14ac:dyDescent="0.35">
      <c r="A131" s="9" t="s">
        <v>338</v>
      </c>
      <c r="B131" s="9" t="s">
        <v>339</v>
      </c>
      <c r="C131" s="9" t="s">
        <v>78</v>
      </c>
      <c r="D131" s="9" t="s">
        <v>75</v>
      </c>
      <c r="E131" s="9" t="s">
        <v>83</v>
      </c>
      <c r="F131" s="10">
        <v>45465</v>
      </c>
      <c r="G131" s="9">
        <v>21</v>
      </c>
      <c r="H131" s="9">
        <v>64</v>
      </c>
      <c r="I131" s="9">
        <v>43</v>
      </c>
      <c r="J131" s="9">
        <v>63</v>
      </c>
      <c r="K131" s="9">
        <v>72</v>
      </c>
      <c r="L131" s="11">
        <v>30000</v>
      </c>
    </row>
    <row r="132" spans="1:12" x14ac:dyDescent="0.35">
      <c r="A132" s="9" t="s">
        <v>340</v>
      </c>
      <c r="B132" s="9" t="s">
        <v>110</v>
      </c>
      <c r="C132" s="9" t="s">
        <v>74</v>
      </c>
      <c r="D132" s="9" t="s">
        <v>75</v>
      </c>
      <c r="E132" s="9" t="s">
        <v>76</v>
      </c>
      <c r="F132" s="10">
        <v>45467</v>
      </c>
      <c r="G132" s="9">
        <v>33</v>
      </c>
      <c r="H132" s="9">
        <v>19</v>
      </c>
      <c r="I132" s="9">
        <v>29</v>
      </c>
      <c r="J132" s="9">
        <v>12</v>
      </c>
      <c r="K132" s="9">
        <v>99</v>
      </c>
      <c r="L132" s="11">
        <v>10000</v>
      </c>
    </row>
    <row r="133" spans="1:12" x14ac:dyDescent="0.35">
      <c r="A133" s="9" t="s">
        <v>341</v>
      </c>
      <c r="B133" s="9" t="s">
        <v>148</v>
      </c>
      <c r="C133" s="9" t="s">
        <v>89</v>
      </c>
      <c r="D133" s="9" t="s">
        <v>82</v>
      </c>
      <c r="E133" s="9" t="s">
        <v>83</v>
      </c>
      <c r="F133" s="10">
        <v>45468</v>
      </c>
      <c r="G133" s="9">
        <v>46</v>
      </c>
      <c r="H133" s="9">
        <v>51</v>
      </c>
      <c r="I133" s="9">
        <v>56</v>
      </c>
      <c r="J133" s="9">
        <v>37</v>
      </c>
      <c r="K133" s="9">
        <v>76</v>
      </c>
      <c r="L133" s="11">
        <v>0</v>
      </c>
    </row>
    <row r="134" spans="1:12" x14ac:dyDescent="0.35">
      <c r="A134" s="9" t="s">
        <v>342</v>
      </c>
      <c r="B134" s="9" t="s">
        <v>343</v>
      </c>
      <c r="C134" s="9" t="s">
        <v>95</v>
      </c>
      <c r="D134" s="9" t="s">
        <v>82</v>
      </c>
      <c r="E134" s="9" t="s">
        <v>83</v>
      </c>
      <c r="F134" s="10">
        <v>45468</v>
      </c>
      <c r="G134" s="9">
        <v>67</v>
      </c>
      <c r="H134" s="9">
        <v>57</v>
      </c>
      <c r="I134" s="9">
        <v>31</v>
      </c>
      <c r="J134" s="9">
        <v>35</v>
      </c>
      <c r="K134" s="9">
        <v>86</v>
      </c>
      <c r="L134" s="11">
        <v>0</v>
      </c>
    </row>
    <row r="135" spans="1:12" x14ac:dyDescent="0.35">
      <c r="A135" s="9" t="s">
        <v>344</v>
      </c>
      <c r="B135" s="9" t="s">
        <v>345</v>
      </c>
      <c r="C135" s="9" t="s">
        <v>78</v>
      </c>
      <c r="D135" s="9" t="s">
        <v>75</v>
      </c>
      <c r="E135" s="9" t="s">
        <v>76</v>
      </c>
      <c r="F135" s="10">
        <v>45469</v>
      </c>
      <c r="G135" s="9">
        <v>62</v>
      </c>
      <c r="H135" s="9">
        <v>72</v>
      </c>
      <c r="I135" s="9">
        <v>59</v>
      </c>
      <c r="J135" s="9">
        <v>77</v>
      </c>
      <c r="K135" s="9">
        <v>65</v>
      </c>
      <c r="L135" s="11">
        <v>0</v>
      </c>
    </row>
    <row r="136" spans="1:12" x14ac:dyDescent="0.35">
      <c r="A136" s="9" t="s">
        <v>346</v>
      </c>
      <c r="B136" s="9" t="s">
        <v>347</v>
      </c>
      <c r="C136" s="9" t="s">
        <v>78</v>
      </c>
      <c r="D136" s="9" t="s">
        <v>82</v>
      </c>
      <c r="E136" s="9" t="s">
        <v>83</v>
      </c>
      <c r="F136" s="10">
        <v>45469</v>
      </c>
      <c r="G136" s="9">
        <v>42</v>
      </c>
      <c r="H136" s="9">
        <v>41</v>
      </c>
      <c r="I136" s="9">
        <v>39</v>
      </c>
      <c r="J136" s="9">
        <v>64</v>
      </c>
      <c r="K136" s="9">
        <v>62</v>
      </c>
      <c r="L136" s="11">
        <v>0</v>
      </c>
    </row>
    <row r="137" spans="1:12" x14ac:dyDescent="0.35">
      <c r="A137" s="9" t="s">
        <v>348</v>
      </c>
      <c r="B137" s="9" t="s">
        <v>173</v>
      </c>
      <c r="C137" s="9" t="s">
        <v>85</v>
      </c>
      <c r="D137" s="9" t="s">
        <v>75</v>
      </c>
      <c r="E137" s="9" t="s">
        <v>76</v>
      </c>
      <c r="F137" s="10">
        <v>45471</v>
      </c>
      <c r="G137" s="9">
        <v>55</v>
      </c>
      <c r="H137" s="9">
        <v>59</v>
      </c>
      <c r="I137" s="9">
        <v>73</v>
      </c>
      <c r="J137" s="9">
        <v>48</v>
      </c>
      <c r="K137" s="9">
        <v>81</v>
      </c>
      <c r="L137" s="11">
        <v>10000</v>
      </c>
    </row>
    <row r="138" spans="1:12" x14ac:dyDescent="0.35">
      <c r="A138" s="9" t="s">
        <v>349</v>
      </c>
      <c r="B138" s="9" t="s">
        <v>350</v>
      </c>
      <c r="C138" s="9" t="s">
        <v>78</v>
      </c>
      <c r="D138" s="9" t="s">
        <v>75</v>
      </c>
      <c r="E138" s="9" t="s">
        <v>83</v>
      </c>
      <c r="F138" s="10">
        <v>45471</v>
      </c>
      <c r="G138" s="9">
        <v>58</v>
      </c>
      <c r="H138" s="9">
        <v>75</v>
      </c>
      <c r="I138" s="9">
        <v>83</v>
      </c>
      <c r="J138" s="9">
        <v>52</v>
      </c>
      <c r="K138" s="9">
        <v>78</v>
      </c>
      <c r="L138" s="11">
        <v>0</v>
      </c>
    </row>
    <row r="139" spans="1:12" x14ac:dyDescent="0.35">
      <c r="A139" s="9" t="s">
        <v>351</v>
      </c>
      <c r="B139" s="9" t="s">
        <v>352</v>
      </c>
      <c r="C139" s="9" t="s">
        <v>85</v>
      </c>
      <c r="D139" s="9" t="s">
        <v>82</v>
      </c>
      <c r="E139" s="9" t="s">
        <v>83</v>
      </c>
      <c r="F139" s="10">
        <v>45471</v>
      </c>
      <c r="G139" s="9">
        <v>43</v>
      </c>
      <c r="H139" s="9">
        <v>55</v>
      </c>
      <c r="I139" s="9">
        <v>66</v>
      </c>
      <c r="J139" s="9">
        <v>57</v>
      </c>
      <c r="K139" s="9">
        <v>94</v>
      </c>
      <c r="L139" s="11">
        <v>10000</v>
      </c>
    </row>
    <row r="140" spans="1:12" x14ac:dyDescent="0.35">
      <c r="A140" s="9" t="s">
        <v>353</v>
      </c>
      <c r="B140" s="9" t="s">
        <v>354</v>
      </c>
      <c r="C140" s="9" t="s">
        <v>85</v>
      </c>
      <c r="D140" s="9" t="s">
        <v>82</v>
      </c>
      <c r="E140" s="9" t="s">
        <v>83</v>
      </c>
      <c r="F140" s="10">
        <v>45475</v>
      </c>
      <c r="G140" s="9">
        <v>48</v>
      </c>
      <c r="H140" s="9">
        <v>65</v>
      </c>
      <c r="I140" s="9">
        <v>66</v>
      </c>
      <c r="J140" s="9">
        <v>74</v>
      </c>
      <c r="K140" s="9">
        <v>98</v>
      </c>
      <c r="L140" s="11">
        <v>0</v>
      </c>
    </row>
    <row r="141" spans="1:12" x14ac:dyDescent="0.35">
      <c r="A141" s="9" t="s">
        <v>355</v>
      </c>
      <c r="B141" s="9" t="s">
        <v>356</v>
      </c>
      <c r="C141" s="9" t="s">
        <v>89</v>
      </c>
      <c r="D141" s="9" t="s">
        <v>82</v>
      </c>
      <c r="E141" s="9" t="s">
        <v>76</v>
      </c>
      <c r="F141" s="10">
        <v>45476</v>
      </c>
      <c r="G141" s="9">
        <v>77</v>
      </c>
      <c r="H141" s="9">
        <v>85</v>
      </c>
      <c r="I141" s="9">
        <v>74</v>
      </c>
      <c r="J141" s="9">
        <v>57</v>
      </c>
      <c r="K141" s="9">
        <v>100</v>
      </c>
      <c r="L141" s="11">
        <v>10000</v>
      </c>
    </row>
    <row r="142" spans="1:12" x14ac:dyDescent="0.35">
      <c r="A142" s="9" t="s">
        <v>357</v>
      </c>
      <c r="B142" s="9" t="s">
        <v>358</v>
      </c>
      <c r="C142" s="9" t="s">
        <v>78</v>
      </c>
      <c r="D142" s="9" t="s">
        <v>75</v>
      </c>
      <c r="E142" s="9" t="s">
        <v>76</v>
      </c>
      <c r="F142" s="10">
        <v>45476</v>
      </c>
      <c r="G142" s="9">
        <v>74</v>
      </c>
      <c r="H142" s="9">
        <v>78</v>
      </c>
      <c r="I142" s="9">
        <v>67</v>
      </c>
      <c r="J142" s="9">
        <v>52</v>
      </c>
      <c r="K142" s="9">
        <v>93</v>
      </c>
      <c r="L142" s="11">
        <v>10000</v>
      </c>
    </row>
    <row r="143" spans="1:12" x14ac:dyDescent="0.35">
      <c r="A143" s="9" t="s">
        <v>359</v>
      </c>
      <c r="B143" s="9" t="s">
        <v>360</v>
      </c>
      <c r="C143" s="9" t="s">
        <v>85</v>
      </c>
      <c r="D143" s="9" t="s">
        <v>75</v>
      </c>
      <c r="E143" s="9" t="s">
        <v>83</v>
      </c>
      <c r="F143" s="10">
        <v>45479</v>
      </c>
      <c r="G143" s="9">
        <v>36</v>
      </c>
      <c r="H143" s="9">
        <v>77</v>
      </c>
      <c r="I143" s="9">
        <v>46</v>
      </c>
      <c r="J143" s="9">
        <v>54</v>
      </c>
      <c r="K143" s="9">
        <v>84</v>
      </c>
      <c r="L143" s="11">
        <v>0</v>
      </c>
    </row>
    <row r="144" spans="1:12" x14ac:dyDescent="0.35">
      <c r="A144" s="9" t="s">
        <v>361</v>
      </c>
      <c r="B144" s="9" t="s">
        <v>222</v>
      </c>
      <c r="C144" s="9" t="s">
        <v>74</v>
      </c>
      <c r="D144" s="9" t="s">
        <v>82</v>
      </c>
      <c r="E144" s="9" t="s">
        <v>83</v>
      </c>
      <c r="F144" s="10">
        <v>45482</v>
      </c>
      <c r="G144" s="9">
        <v>63</v>
      </c>
      <c r="H144" s="9">
        <v>74</v>
      </c>
      <c r="I144" s="9">
        <v>91</v>
      </c>
      <c r="J144" s="9">
        <v>76</v>
      </c>
      <c r="K144" s="9">
        <v>85</v>
      </c>
      <c r="L144" s="11">
        <v>0</v>
      </c>
    </row>
    <row r="145" spans="1:12" x14ac:dyDescent="0.35">
      <c r="A145" s="9" t="s">
        <v>362</v>
      </c>
      <c r="B145" s="9" t="s">
        <v>363</v>
      </c>
      <c r="C145" s="9" t="s">
        <v>95</v>
      </c>
      <c r="D145" s="9" t="s">
        <v>82</v>
      </c>
      <c r="E145" s="9" t="s">
        <v>83</v>
      </c>
      <c r="F145" s="10">
        <v>45482</v>
      </c>
      <c r="G145" s="9">
        <v>87</v>
      </c>
      <c r="H145" s="9">
        <v>74</v>
      </c>
      <c r="I145" s="9">
        <v>96</v>
      </c>
      <c r="J145" s="9">
        <v>89</v>
      </c>
      <c r="K145" s="9">
        <v>67</v>
      </c>
      <c r="L145" s="11">
        <v>0</v>
      </c>
    </row>
    <row r="146" spans="1:12" x14ac:dyDescent="0.35">
      <c r="A146" s="9" t="s">
        <v>364</v>
      </c>
      <c r="B146" s="9" t="s">
        <v>365</v>
      </c>
      <c r="C146" s="9" t="s">
        <v>78</v>
      </c>
      <c r="D146" s="9" t="s">
        <v>75</v>
      </c>
      <c r="E146" s="9" t="s">
        <v>76</v>
      </c>
      <c r="F146" s="10">
        <v>45482</v>
      </c>
      <c r="G146" s="9">
        <v>64</v>
      </c>
      <c r="H146" s="9">
        <v>79</v>
      </c>
      <c r="I146" s="9">
        <v>61</v>
      </c>
      <c r="J146" s="9">
        <v>46</v>
      </c>
      <c r="K146" s="9">
        <v>75</v>
      </c>
      <c r="L146" s="11">
        <v>0</v>
      </c>
    </row>
    <row r="147" spans="1:12" x14ac:dyDescent="0.35">
      <c r="A147" s="9" t="s">
        <v>366</v>
      </c>
      <c r="B147" s="9" t="s">
        <v>230</v>
      </c>
      <c r="C147" s="9" t="s">
        <v>74</v>
      </c>
      <c r="D147" s="9" t="s">
        <v>75</v>
      </c>
      <c r="E147" s="9" t="s">
        <v>76</v>
      </c>
      <c r="F147" s="10">
        <v>45484</v>
      </c>
      <c r="G147" s="9">
        <v>88</v>
      </c>
      <c r="H147" s="9">
        <v>90</v>
      </c>
      <c r="I147" s="9">
        <v>63</v>
      </c>
      <c r="J147" s="9">
        <v>77</v>
      </c>
      <c r="K147" s="9">
        <v>79</v>
      </c>
      <c r="L147" s="11">
        <v>20000</v>
      </c>
    </row>
    <row r="148" spans="1:12" x14ac:dyDescent="0.35">
      <c r="A148" s="9" t="s">
        <v>367</v>
      </c>
      <c r="B148" s="9" t="s">
        <v>368</v>
      </c>
      <c r="C148" s="9" t="s">
        <v>78</v>
      </c>
      <c r="D148" s="9" t="s">
        <v>82</v>
      </c>
      <c r="E148" s="9" t="s">
        <v>83</v>
      </c>
      <c r="F148" s="10">
        <v>45485</v>
      </c>
      <c r="G148" s="9">
        <v>41</v>
      </c>
      <c r="H148" s="9">
        <v>43</v>
      </c>
      <c r="I148" s="9">
        <v>52</v>
      </c>
      <c r="J148" s="9">
        <v>50</v>
      </c>
      <c r="K148" s="9">
        <v>80</v>
      </c>
      <c r="L148" s="11">
        <v>0</v>
      </c>
    </row>
    <row r="149" spans="1:12" x14ac:dyDescent="0.35">
      <c r="A149" s="9" t="s">
        <v>369</v>
      </c>
      <c r="B149" s="9" t="s">
        <v>370</v>
      </c>
      <c r="C149" s="9" t="s">
        <v>89</v>
      </c>
      <c r="D149" s="9" t="s">
        <v>82</v>
      </c>
      <c r="E149" s="9" t="s">
        <v>76</v>
      </c>
      <c r="F149" s="10">
        <v>45490</v>
      </c>
      <c r="G149" s="9">
        <v>64</v>
      </c>
      <c r="H149" s="9">
        <v>56</v>
      </c>
      <c r="I149" s="9">
        <v>73</v>
      </c>
      <c r="J149" s="9">
        <v>62</v>
      </c>
      <c r="K149" s="9">
        <v>71</v>
      </c>
      <c r="L149" s="11">
        <v>0</v>
      </c>
    </row>
    <row r="150" spans="1:12" x14ac:dyDescent="0.35">
      <c r="A150" s="9" t="s">
        <v>371</v>
      </c>
      <c r="B150" s="9" t="s">
        <v>372</v>
      </c>
      <c r="C150" s="9" t="s">
        <v>78</v>
      </c>
      <c r="D150" s="9" t="s">
        <v>75</v>
      </c>
      <c r="E150" s="9" t="s">
        <v>76</v>
      </c>
      <c r="F150" s="10">
        <v>45490</v>
      </c>
      <c r="G150" s="9">
        <v>59</v>
      </c>
      <c r="H150" s="9">
        <v>34</v>
      </c>
      <c r="I150" s="9">
        <v>43</v>
      </c>
      <c r="J150" s="9">
        <v>61</v>
      </c>
      <c r="K150" s="9">
        <v>74</v>
      </c>
      <c r="L150" s="11">
        <v>0</v>
      </c>
    </row>
    <row r="151" spans="1:12" x14ac:dyDescent="0.35">
      <c r="A151" s="9" t="s">
        <v>373</v>
      </c>
      <c r="B151" s="9" t="s">
        <v>374</v>
      </c>
      <c r="C151" s="9" t="s">
        <v>74</v>
      </c>
      <c r="D151" s="9" t="s">
        <v>75</v>
      </c>
      <c r="E151" s="9" t="s">
        <v>83</v>
      </c>
      <c r="F151" s="10">
        <v>45493</v>
      </c>
      <c r="G151" s="9">
        <v>58</v>
      </c>
      <c r="H151" s="9">
        <v>58</v>
      </c>
      <c r="I151" s="9">
        <v>50</v>
      </c>
      <c r="J151" s="9">
        <v>67</v>
      </c>
      <c r="K151" s="9">
        <v>65</v>
      </c>
      <c r="L151" s="11">
        <v>0</v>
      </c>
    </row>
    <row r="152" spans="1:12" x14ac:dyDescent="0.35">
      <c r="A152" s="9" t="s">
        <v>375</v>
      </c>
      <c r="B152" s="9" t="s">
        <v>285</v>
      </c>
      <c r="C152" s="9" t="s">
        <v>95</v>
      </c>
      <c r="D152" s="9" t="s">
        <v>82</v>
      </c>
      <c r="E152" s="9" t="s">
        <v>83</v>
      </c>
      <c r="F152" s="10">
        <v>45493</v>
      </c>
      <c r="G152" s="9">
        <v>65</v>
      </c>
      <c r="H152" s="9">
        <v>61</v>
      </c>
      <c r="I152" s="9">
        <v>73</v>
      </c>
      <c r="J152" s="9">
        <v>70</v>
      </c>
      <c r="K152" s="9">
        <v>81</v>
      </c>
      <c r="L152" s="11">
        <v>0</v>
      </c>
    </row>
    <row r="153" spans="1:12" x14ac:dyDescent="0.35">
      <c r="A153" s="9" t="s">
        <v>376</v>
      </c>
      <c r="B153" s="9" t="s">
        <v>377</v>
      </c>
      <c r="C153" s="9" t="s">
        <v>78</v>
      </c>
      <c r="D153" s="9" t="s">
        <v>75</v>
      </c>
      <c r="E153" s="9" t="s">
        <v>83</v>
      </c>
      <c r="F153" s="10">
        <v>45493</v>
      </c>
      <c r="G153" s="9">
        <v>100</v>
      </c>
      <c r="H153" s="9">
        <v>71</v>
      </c>
      <c r="I153" s="9">
        <v>74</v>
      </c>
      <c r="J153" s="9">
        <v>55</v>
      </c>
      <c r="K153" s="9">
        <v>74</v>
      </c>
      <c r="L153" s="11">
        <v>0</v>
      </c>
    </row>
    <row r="154" spans="1:12" x14ac:dyDescent="0.35">
      <c r="A154" s="9" t="s">
        <v>378</v>
      </c>
      <c r="B154" s="9" t="s">
        <v>379</v>
      </c>
      <c r="C154" s="9" t="s">
        <v>85</v>
      </c>
      <c r="D154" s="9" t="s">
        <v>82</v>
      </c>
      <c r="E154" s="9" t="s">
        <v>83</v>
      </c>
      <c r="F154" s="10">
        <v>45494</v>
      </c>
      <c r="G154" s="9">
        <v>40</v>
      </c>
      <c r="H154" s="9">
        <v>55</v>
      </c>
      <c r="I154" s="9">
        <v>58</v>
      </c>
      <c r="J154" s="9">
        <v>44</v>
      </c>
      <c r="K154" s="9">
        <v>79</v>
      </c>
      <c r="L154" s="11">
        <v>0</v>
      </c>
    </row>
    <row r="155" spans="1:12" x14ac:dyDescent="0.35">
      <c r="A155" s="9" t="s">
        <v>380</v>
      </c>
      <c r="B155" s="9" t="s">
        <v>381</v>
      </c>
      <c r="C155" s="9" t="s">
        <v>78</v>
      </c>
      <c r="D155" s="9" t="s">
        <v>82</v>
      </c>
      <c r="E155" s="9" t="s">
        <v>76</v>
      </c>
      <c r="F155" s="10">
        <v>45494</v>
      </c>
      <c r="G155" s="9">
        <v>68</v>
      </c>
      <c r="H155" s="9">
        <v>72</v>
      </c>
      <c r="I155" s="9">
        <v>43</v>
      </c>
      <c r="J155" s="9">
        <v>70</v>
      </c>
      <c r="K155" s="9">
        <v>80</v>
      </c>
      <c r="L155" s="11">
        <v>0</v>
      </c>
    </row>
    <row r="156" spans="1:12" x14ac:dyDescent="0.35">
      <c r="A156" s="9" t="s">
        <v>382</v>
      </c>
      <c r="B156" s="9" t="s">
        <v>383</v>
      </c>
      <c r="C156" s="9" t="s">
        <v>89</v>
      </c>
      <c r="D156" s="9" t="s">
        <v>75</v>
      </c>
      <c r="E156" s="9" t="s">
        <v>83</v>
      </c>
      <c r="F156" s="10">
        <v>45494</v>
      </c>
      <c r="G156" s="9">
        <v>36</v>
      </c>
      <c r="H156" s="9">
        <v>45</v>
      </c>
      <c r="I156" s="9">
        <v>12</v>
      </c>
      <c r="J156" s="9">
        <v>25</v>
      </c>
      <c r="K156" s="9">
        <v>67</v>
      </c>
      <c r="L156" s="11">
        <v>10000</v>
      </c>
    </row>
    <row r="157" spans="1:12" x14ac:dyDescent="0.35">
      <c r="A157" s="9" t="s">
        <v>384</v>
      </c>
      <c r="B157" s="9" t="s">
        <v>360</v>
      </c>
      <c r="C157" s="9" t="s">
        <v>74</v>
      </c>
      <c r="D157" s="9" t="s">
        <v>75</v>
      </c>
      <c r="E157" s="9" t="s">
        <v>76</v>
      </c>
      <c r="F157" s="10">
        <v>45495</v>
      </c>
      <c r="G157" s="9">
        <v>30</v>
      </c>
      <c r="H157" s="9">
        <v>55</v>
      </c>
      <c r="I157" s="9">
        <v>41</v>
      </c>
      <c r="J157" s="9">
        <v>32</v>
      </c>
      <c r="K157" s="9">
        <v>72</v>
      </c>
      <c r="L157" s="11">
        <v>0</v>
      </c>
    </row>
    <row r="158" spans="1:12" x14ac:dyDescent="0.35">
      <c r="A158" s="9" t="s">
        <v>385</v>
      </c>
      <c r="B158" s="9" t="s">
        <v>386</v>
      </c>
      <c r="C158" s="9" t="s">
        <v>85</v>
      </c>
      <c r="D158" s="9" t="s">
        <v>82</v>
      </c>
      <c r="E158" s="9" t="s">
        <v>83</v>
      </c>
      <c r="F158" s="10">
        <v>45497</v>
      </c>
      <c r="G158" s="9">
        <v>68</v>
      </c>
      <c r="H158" s="9">
        <v>82</v>
      </c>
      <c r="I158" s="9">
        <v>88</v>
      </c>
      <c r="J158" s="9">
        <v>97</v>
      </c>
      <c r="K158" s="9">
        <v>83</v>
      </c>
      <c r="L158" s="11">
        <v>0</v>
      </c>
    </row>
    <row r="159" spans="1:12" x14ac:dyDescent="0.35">
      <c r="A159" s="9" t="s">
        <v>387</v>
      </c>
      <c r="B159" s="9" t="s">
        <v>388</v>
      </c>
      <c r="C159" s="9" t="s">
        <v>95</v>
      </c>
      <c r="D159" s="9" t="s">
        <v>75</v>
      </c>
      <c r="E159" s="9" t="s">
        <v>76</v>
      </c>
      <c r="F159" s="10">
        <v>45498</v>
      </c>
      <c r="G159" s="9">
        <v>53</v>
      </c>
      <c r="H159" s="9">
        <v>57</v>
      </c>
      <c r="I159" s="9">
        <v>58</v>
      </c>
      <c r="J159" s="9">
        <v>58</v>
      </c>
      <c r="K159" s="9">
        <v>69</v>
      </c>
      <c r="L159" s="11">
        <v>0</v>
      </c>
    </row>
    <row r="160" spans="1:12" x14ac:dyDescent="0.35">
      <c r="A160" s="9" t="s">
        <v>389</v>
      </c>
      <c r="B160" s="9" t="s">
        <v>390</v>
      </c>
      <c r="C160" s="9" t="s">
        <v>78</v>
      </c>
      <c r="D160" s="9" t="s">
        <v>82</v>
      </c>
      <c r="E160" s="9" t="s">
        <v>76</v>
      </c>
      <c r="F160" s="10">
        <v>45499</v>
      </c>
      <c r="G160" s="9">
        <v>75</v>
      </c>
      <c r="H160" s="9">
        <v>63</v>
      </c>
      <c r="I160" s="9">
        <v>54</v>
      </c>
      <c r="J160" s="9">
        <v>45</v>
      </c>
      <c r="K160" s="9">
        <v>75</v>
      </c>
      <c r="L160" s="11">
        <v>0</v>
      </c>
    </row>
    <row r="161" spans="1:12" x14ac:dyDescent="0.35">
      <c r="A161" s="9" t="s">
        <v>391</v>
      </c>
      <c r="B161" s="9" t="s">
        <v>392</v>
      </c>
      <c r="C161" s="9" t="s">
        <v>74</v>
      </c>
      <c r="D161" s="9" t="s">
        <v>82</v>
      </c>
      <c r="E161" s="9" t="s">
        <v>83</v>
      </c>
      <c r="F161" s="10">
        <v>45504</v>
      </c>
      <c r="G161" s="9">
        <v>61</v>
      </c>
      <c r="H161" s="9">
        <v>73</v>
      </c>
      <c r="I161" s="9">
        <v>46</v>
      </c>
      <c r="J161" s="9">
        <v>69</v>
      </c>
      <c r="K161" s="9">
        <v>70</v>
      </c>
      <c r="L161" s="11">
        <v>0</v>
      </c>
    </row>
    <row r="162" spans="1:12" x14ac:dyDescent="0.35">
      <c r="A162" s="9" t="s">
        <v>393</v>
      </c>
      <c r="B162" s="9" t="s">
        <v>175</v>
      </c>
      <c r="C162" s="9" t="s">
        <v>95</v>
      </c>
      <c r="D162" s="9" t="s">
        <v>82</v>
      </c>
      <c r="E162" s="9" t="s">
        <v>83</v>
      </c>
      <c r="F162" s="10">
        <v>45505</v>
      </c>
      <c r="G162" s="9">
        <v>89</v>
      </c>
      <c r="H162" s="9">
        <v>55</v>
      </c>
      <c r="I162" s="9">
        <v>87</v>
      </c>
      <c r="J162" s="9">
        <v>67</v>
      </c>
      <c r="K162" s="9">
        <v>87</v>
      </c>
      <c r="L162" s="11">
        <v>0</v>
      </c>
    </row>
    <row r="163" spans="1:12" x14ac:dyDescent="0.35">
      <c r="A163" s="9" t="s">
        <v>394</v>
      </c>
      <c r="B163" s="9" t="s">
        <v>173</v>
      </c>
      <c r="C163" s="9" t="s">
        <v>78</v>
      </c>
      <c r="D163" s="9" t="s">
        <v>75</v>
      </c>
      <c r="E163" s="9" t="s">
        <v>83</v>
      </c>
      <c r="F163" s="10">
        <v>45506</v>
      </c>
      <c r="G163" s="9">
        <v>56</v>
      </c>
      <c r="H163" s="9">
        <v>65</v>
      </c>
      <c r="I163" s="9">
        <v>72</v>
      </c>
      <c r="J163" s="9">
        <v>68</v>
      </c>
      <c r="K163" s="9">
        <v>94</v>
      </c>
      <c r="L163" s="11">
        <v>10000</v>
      </c>
    </row>
    <row r="164" spans="1:12" x14ac:dyDescent="0.35">
      <c r="A164" s="9" t="s">
        <v>395</v>
      </c>
      <c r="B164" s="9" t="s">
        <v>249</v>
      </c>
      <c r="C164" s="9" t="s">
        <v>74</v>
      </c>
      <c r="D164" s="9" t="s">
        <v>82</v>
      </c>
      <c r="E164" s="9" t="s">
        <v>76</v>
      </c>
      <c r="F164" s="10">
        <v>45507</v>
      </c>
      <c r="G164" s="9">
        <v>56</v>
      </c>
      <c r="H164" s="9">
        <v>26</v>
      </c>
      <c r="I164" s="9">
        <v>48</v>
      </c>
      <c r="J164" s="9">
        <v>28</v>
      </c>
      <c r="K164" s="9">
        <v>86</v>
      </c>
      <c r="L164" s="11">
        <v>10000</v>
      </c>
    </row>
    <row r="165" spans="1:12" x14ac:dyDescent="0.35">
      <c r="A165" s="9" t="s">
        <v>396</v>
      </c>
      <c r="B165" s="9" t="s">
        <v>397</v>
      </c>
      <c r="C165" s="9" t="s">
        <v>78</v>
      </c>
      <c r="D165" s="9" t="s">
        <v>82</v>
      </c>
      <c r="E165" s="9" t="s">
        <v>76</v>
      </c>
      <c r="F165" s="10">
        <v>45508</v>
      </c>
      <c r="G165" s="9">
        <v>42</v>
      </c>
      <c r="H165" s="9">
        <v>50</v>
      </c>
      <c r="I165" s="9">
        <v>70</v>
      </c>
      <c r="J165" s="9">
        <v>59</v>
      </c>
      <c r="K165" s="9">
        <v>72</v>
      </c>
      <c r="L165" s="11">
        <v>20000</v>
      </c>
    </row>
    <row r="166" spans="1:12" x14ac:dyDescent="0.35">
      <c r="A166" s="9" t="s">
        <v>398</v>
      </c>
      <c r="B166" s="9" t="s">
        <v>399</v>
      </c>
      <c r="C166" s="9" t="s">
        <v>89</v>
      </c>
      <c r="D166" s="9" t="s">
        <v>82</v>
      </c>
      <c r="E166" s="9" t="s">
        <v>83</v>
      </c>
      <c r="F166" s="10">
        <v>45509</v>
      </c>
      <c r="G166" s="9">
        <v>43</v>
      </c>
      <c r="H166" s="9">
        <v>47</v>
      </c>
      <c r="I166" s="9">
        <v>67</v>
      </c>
      <c r="J166" s="9">
        <v>65</v>
      </c>
      <c r="K166" s="9">
        <v>89</v>
      </c>
      <c r="L166" s="11">
        <v>0</v>
      </c>
    </row>
    <row r="167" spans="1:12" x14ac:dyDescent="0.35">
      <c r="A167" s="9" t="s">
        <v>400</v>
      </c>
      <c r="B167" s="9" t="s">
        <v>401</v>
      </c>
      <c r="C167" s="9" t="s">
        <v>74</v>
      </c>
      <c r="D167" s="9" t="s">
        <v>82</v>
      </c>
      <c r="E167" s="9" t="s">
        <v>83</v>
      </c>
      <c r="F167" s="10">
        <v>45509</v>
      </c>
      <c r="G167" s="9">
        <v>28</v>
      </c>
      <c r="H167" s="9">
        <v>41</v>
      </c>
      <c r="I167" s="9">
        <v>33</v>
      </c>
      <c r="J167" s="9">
        <v>36</v>
      </c>
      <c r="K167" s="9">
        <v>75</v>
      </c>
      <c r="L167" s="11">
        <v>0</v>
      </c>
    </row>
    <row r="168" spans="1:12" x14ac:dyDescent="0.35">
      <c r="A168" s="9" t="s">
        <v>402</v>
      </c>
      <c r="B168" s="9" t="s">
        <v>204</v>
      </c>
      <c r="C168" s="9" t="s">
        <v>85</v>
      </c>
      <c r="D168" s="9" t="s">
        <v>82</v>
      </c>
      <c r="E168" s="9" t="s">
        <v>83</v>
      </c>
      <c r="F168" s="10">
        <v>45511</v>
      </c>
      <c r="G168" s="9">
        <v>64</v>
      </c>
      <c r="H168" s="9">
        <v>83</v>
      </c>
      <c r="I168" s="9">
        <v>89</v>
      </c>
      <c r="J168" s="9">
        <v>63</v>
      </c>
      <c r="K168" s="9">
        <v>82</v>
      </c>
      <c r="L168" s="11">
        <v>20000</v>
      </c>
    </row>
    <row r="169" spans="1:12" x14ac:dyDescent="0.35">
      <c r="A169" s="9" t="s">
        <v>403</v>
      </c>
      <c r="B169" s="9" t="s">
        <v>404</v>
      </c>
      <c r="C169" s="9" t="s">
        <v>74</v>
      </c>
      <c r="D169" s="9" t="s">
        <v>82</v>
      </c>
      <c r="E169" s="9" t="s">
        <v>83</v>
      </c>
      <c r="F169" s="10">
        <v>45512</v>
      </c>
      <c r="G169" s="9">
        <v>22</v>
      </c>
      <c r="H169" s="9">
        <v>44</v>
      </c>
      <c r="I169" s="9">
        <v>42</v>
      </c>
      <c r="J169" s="9">
        <v>25</v>
      </c>
      <c r="K169" s="9">
        <v>87</v>
      </c>
      <c r="L169" s="11">
        <v>10000</v>
      </c>
    </row>
    <row r="170" spans="1:12" x14ac:dyDescent="0.35">
      <c r="A170" s="9" t="s">
        <v>405</v>
      </c>
      <c r="B170" s="9" t="s">
        <v>406</v>
      </c>
      <c r="C170" s="9" t="s">
        <v>78</v>
      </c>
      <c r="D170" s="9" t="s">
        <v>75</v>
      </c>
      <c r="E170" s="9" t="s">
        <v>76</v>
      </c>
      <c r="F170" s="10">
        <v>45512</v>
      </c>
      <c r="G170" s="9">
        <v>82</v>
      </c>
      <c r="H170" s="9">
        <v>61</v>
      </c>
      <c r="I170" s="9">
        <v>58</v>
      </c>
      <c r="J170" s="9">
        <v>83</v>
      </c>
      <c r="K170" s="9">
        <v>86</v>
      </c>
      <c r="L170" s="11">
        <v>30000</v>
      </c>
    </row>
    <row r="171" spans="1:12" x14ac:dyDescent="0.35">
      <c r="A171" s="9" t="s">
        <v>407</v>
      </c>
      <c r="B171" s="9" t="s">
        <v>408</v>
      </c>
      <c r="C171" s="9" t="s">
        <v>85</v>
      </c>
      <c r="D171" s="9" t="s">
        <v>75</v>
      </c>
      <c r="E171" s="9" t="s">
        <v>76</v>
      </c>
      <c r="F171" s="10">
        <v>45516</v>
      </c>
      <c r="G171" s="9">
        <v>74</v>
      </c>
      <c r="H171" s="9">
        <v>82</v>
      </c>
      <c r="I171" s="9">
        <v>68</v>
      </c>
      <c r="J171" s="9">
        <v>51</v>
      </c>
      <c r="K171" s="9">
        <v>80</v>
      </c>
      <c r="L171" s="11">
        <v>20000</v>
      </c>
    </row>
    <row r="172" spans="1:12" x14ac:dyDescent="0.35">
      <c r="A172" s="9" t="s">
        <v>409</v>
      </c>
      <c r="B172" s="9" t="s">
        <v>388</v>
      </c>
      <c r="C172" s="9" t="s">
        <v>78</v>
      </c>
      <c r="D172" s="9" t="s">
        <v>75</v>
      </c>
      <c r="E172" s="9" t="s">
        <v>76</v>
      </c>
      <c r="F172" s="10">
        <v>45516</v>
      </c>
      <c r="G172" s="9">
        <v>69</v>
      </c>
      <c r="H172" s="9">
        <v>62</v>
      </c>
      <c r="I172" s="9">
        <v>51</v>
      </c>
      <c r="J172" s="9">
        <v>66</v>
      </c>
      <c r="K172" s="9">
        <v>85</v>
      </c>
      <c r="L172" s="11">
        <v>0</v>
      </c>
    </row>
    <row r="173" spans="1:12" x14ac:dyDescent="0.35">
      <c r="A173" s="9" t="s">
        <v>410</v>
      </c>
      <c r="B173" s="9" t="s">
        <v>379</v>
      </c>
      <c r="C173" s="9" t="s">
        <v>74</v>
      </c>
      <c r="D173" s="9" t="s">
        <v>82</v>
      </c>
      <c r="E173" s="9" t="s">
        <v>83</v>
      </c>
      <c r="F173" s="10">
        <v>45519</v>
      </c>
      <c r="G173" s="9">
        <v>15</v>
      </c>
      <c r="H173" s="9">
        <v>44</v>
      </c>
      <c r="I173" s="9">
        <v>20</v>
      </c>
      <c r="J173" s="9">
        <v>53</v>
      </c>
      <c r="K173" s="9">
        <v>100</v>
      </c>
      <c r="L173" s="11">
        <v>20000</v>
      </c>
    </row>
    <row r="174" spans="1:12" x14ac:dyDescent="0.35">
      <c r="A174" s="9" t="s">
        <v>411</v>
      </c>
      <c r="B174" s="9" t="s">
        <v>412</v>
      </c>
      <c r="C174" s="9" t="s">
        <v>95</v>
      </c>
      <c r="D174" s="9" t="s">
        <v>82</v>
      </c>
      <c r="E174" s="9" t="s">
        <v>76</v>
      </c>
      <c r="F174" s="10">
        <v>45520</v>
      </c>
      <c r="G174" s="9">
        <v>65</v>
      </c>
      <c r="H174" s="9">
        <v>50</v>
      </c>
      <c r="I174" s="9">
        <v>74</v>
      </c>
      <c r="J174" s="9">
        <v>73</v>
      </c>
      <c r="K174" s="9">
        <v>80</v>
      </c>
      <c r="L174" s="11">
        <v>0</v>
      </c>
    </row>
    <row r="175" spans="1:12" x14ac:dyDescent="0.35">
      <c r="A175" s="9" t="s">
        <v>413</v>
      </c>
      <c r="B175" s="9" t="s">
        <v>414</v>
      </c>
      <c r="C175" s="9" t="s">
        <v>78</v>
      </c>
      <c r="D175" s="9" t="s">
        <v>82</v>
      </c>
      <c r="E175" s="9" t="s">
        <v>76</v>
      </c>
      <c r="F175" s="10">
        <v>45520</v>
      </c>
      <c r="G175" s="9">
        <v>73</v>
      </c>
      <c r="H175" s="9">
        <v>80</v>
      </c>
      <c r="I175" s="9">
        <v>67</v>
      </c>
      <c r="J175" s="9">
        <v>82</v>
      </c>
      <c r="K175" s="9">
        <v>81</v>
      </c>
      <c r="L175" s="11">
        <v>0</v>
      </c>
    </row>
    <row r="176" spans="1:12" x14ac:dyDescent="0.35">
      <c r="A176" s="9" t="s">
        <v>415</v>
      </c>
      <c r="B176" s="9" t="s">
        <v>416</v>
      </c>
      <c r="C176" s="9" t="s">
        <v>78</v>
      </c>
      <c r="D176" s="9" t="s">
        <v>82</v>
      </c>
      <c r="E176" s="9" t="s">
        <v>83</v>
      </c>
      <c r="F176" s="10">
        <v>45522</v>
      </c>
      <c r="G176" s="9">
        <v>87</v>
      </c>
      <c r="H176" s="9">
        <v>85</v>
      </c>
      <c r="I176" s="9">
        <v>69</v>
      </c>
      <c r="J176" s="9">
        <v>100</v>
      </c>
      <c r="K176" s="9">
        <v>91</v>
      </c>
      <c r="L176" s="11">
        <v>0</v>
      </c>
    </row>
    <row r="177" spans="1:12" x14ac:dyDescent="0.35">
      <c r="A177" s="9" t="s">
        <v>417</v>
      </c>
      <c r="B177" s="9" t="s">
        <v>412</v>
      </c>
      <c r="C177" s="9" t="s">
        <v>85</v>
      </c>
      <c r="D177" s="9" t="s">
        <v>82</v>
      </c>
      <c r="E177" s="9" t="s">
        <v>83</v>
      </c>
      <c r="F177" s="10">
        <v>45523</v>
      </c>
      <c r="G177" s="9">
        <v>55</v>
      </c>
      <c r="H177" s="9">
        <v>51</v>
      </c>
      <c r="I177" s="9">
        <v>63</v>
      </c>
      <c r="J177" s="9">
        <v>83</v>
      </c>
      <c r="K177" s="9">
        <v>77</v>
      </c>
      <c r="L177" s="11">
        <v>0</v>
      </c>
    </row>
    <row r="178" spans="1:12" x14ac:dyDescent="0.35">
      <c r="A178" s="9" t="s">
        <v>418</v>
      </c>
      <c r="B178" s="9" t="s">
        <v>419</v>
      </c>
      <c r="C178" s="9" t="s">
        <v>74</v>
      </c>
      <c r="D178" s="9" t="s">
        <v>82</v>
      </c>
      <c r="E178" s="9" t="s">
        <v>83</v>
      </c>
      <c r="F178" s="10">
        <v>45525</v>
      </c>
      <c r="G178" s="9">
        <v>67</v>
      </c>
      <c r="H178" s="9">
        <v>60</v>
      </c>
      <c r="I178" s="9">
        <v>47</v>
      </c>
      <c r="J178" s="9">
        <v>40</v>
      </c>
      <c r="K178" s="9">
        <v>53</v>
      </c>
      <c r="L178" s="11">
        <v>0</v>
      </c>
    </row>
    <row r="179" spans="1:12" x14ac:dyDescent="0.35">
      <c r="A179" s="9" t="s">
        <v>420</v>
      </c>
      <c r="B179" s="9" t="s">
        <v>421</v>
      </c>
      <c r="C179" s="9" t="s">
        <v>85</v>
      </c>
      <c r="D179" s="9" t="s">
        <v>82</v>
      </c>
      <c r="E179" s="9" t="s">
        <v>76</v>
      </c>
      <c r="F179" s="10">
        <v>45525</v>
      </c>
      <c r="G179" s="9">
        <v>60</v>
      </c>
      <c r="H179" s="9">
        <v>41</v>
      </c>
      <c r="I179" s="9">
        <v>48</v>
      </c>
      <c r="J179" s="9">
        <v>57</v>
      </c>
      <c r="K179" s="9">
        <v>79</v>
      </c>
      <c r="L179" s="11">
        <v>0</v>
      </c>
    </row>
    <row r="180" spans="1:12" x14ac:dyDescent="0.35">
      <c r="A180" s="9" t="s">
        <v>422</v>
      </c>
      <c r="B180" s="9" t="s">
        <v>423</v>
      </c>
      <c r="C180" s="9" t="s">
        <v>85</v>
      </c>
      <c r="D180" s="9" t="s">
        <v>82</v>
      </c>
      <c r="E180" s="9" t="s">
        <v>83</v>
      </c>
      <c r="F180" s="10">
        <v>45526</v>
      </c>
      <c r="G180" s="9">
        <v>46</v>
      </c>
      <c r="H180" s="9">
        <v>66</v>
      </c>
      <c r="I180" s="9">
        <v>56</v>
      </c>
      <c r="J180" s="9">
        <v>62</v>
      </c>
      <c r="K180" s="9">
        <v>88</v>
      </c>
      <c r="L180" s="11">
        <v>0</v>
      </c>
    </row>
    <row r="181" spans="1:12" x14ac:dyDescent="0.35">
      <c r="A181" s="9" t="s">
        <v>424</v>
      </c>
      <c r="B181" s="9" t="s">
        <v>328</v>
      </c>
      <c r="C181" s="9" t="s">
        <v>78</v>
      </c>
      <c r="D181" s="9" t="s">
        <v>75</v>
      </c>
      <c r="E181" s="9" t="s">
        <v>76</v>
      </c>
      <c r="F181" s="10">
        <v>45526</v>
      </c>
      <c r="G181" s="9">
        <v>92</v>
      </c>
      <c r="H181" s="9">
        <v>73</v>
      </c>
      <c r="I181" s="9">
        <v>69</v>
      </c>
      <c r="J181" s="9">
        <v>57</v>
      </c>
      <c r="K181" s="9">
        <v>98</v>
      </c>
      <c r="L181" s="11">
        <v>0</v>
      </c>
    </row>
    <row r="182" spans="1:12" x14ac:dyDescent="0.35">
      <c r="A182" s="9" t="s">
        <v>425</v>
      </c>
      <c r="B182" s="9" t="s">
        <v>426</v>
      </c>
      <c r="C182" s="9" t="s">
        <v>89</v>
      </c>
      <c r="D182" s="9" t="s">
        <v>82</v>
      </c>
      <c r="E182" s="9" t="s">
        <v>76</v>
      </c>
      <c r="F182" s="10">
        <v>45527</v>
      </c>
      <c r="G182" s="9">
        <v>35</v>
      </c>
      <c r="H182" s="9">
        <v>37</v>
      </c>
      <c r="I182" s="9">
        <v>35</v>
      </c>
      <c r="J182" s="9">
        <v>35</v>
      </c>
      <c r="K182" s="9">
        <v>70</v>
      </c>
      <c r="L182" s="11">
        <v>0</v>
      </c>
    </row>
    <row r="183" spans="1:12" x14ac:dyDescent="0.35">
      <c r="A183" s="9" t="s">
        <v>427</v>
      </c>
      <c r="B183" s="9" t="s">
        <v>428</v>
      </c>
      <c r="C183" s="9" t="s">
        <v>78</v>
      </c>
      <c r="D183" s="9" t="s">
        <v>82</v>
      </c>
      <c r="E183" s="9" t="s">
        <v>83</v>
      </c>
      <c r="F183" s="10">
        <v>45529</v>
      </c>
      <c r="G183" s="9">
        <v>72</v>
      </c>
      <c r="H183" s="9">
        <v>51</v>
      </c>
      <c r="I183" s="9">
        <v>80</v>
      </c>
      <c r="J183" s="9">
        <v>46</v>
      </c>
      <c r="K183" s="9">
        <v>86</v>
      </c>
      <c r="L183" s="11">
        <v>0</v>
      </c>
    </row>
    <row r="184" spans="1:12" x14ac:dyDescent="0.35">
      <c r="A184" s="9" t="s">
        <v>429</v>
      </c>
      <c r="B184" s="9" t="s">
        <v>261</v>
      </c>
      <c r="C184" s="9" t="s">
        <v>95</v>
      </c>
      <c r="D184" s="9" t="s">
        <v>82</v>
      </c>
      <c r="E184" s="9" t="s">
        <v>76</v>
      </c>
      <c r="F184" s="10">
        <v>45529</v>
      </c>
      <c r="G184" s="9">
        <v>56</v>
      </c>
      <c r="H184" s="9">
        <v>23</v>
      </c>
      <c r="I184" s="9">
        <v>73</v>
      </c>
      <c r="J184" s="9">
        <v>47</v>
      </c>
      <c r="K184" s="9">
        <v>81</v>
      </c>
      <c r="L184" s="11">
        <v>0</v>
      </c>
    </row>
    <row r="185" spans="1:12" x14ac:dyDescent="0.35">
      <c r="A185" s="9" t="s">
        <v>430</v>
      </c>
      <c r="B185" s="9" t="s">
        <v>360</v>
      </c>
      <c r="C185" s="9" t="s">
        <v>74</v>
      </c>
      <c r="D185" s="9" t="s">
        <v>75</v>
      </c>
      <c r="E185" s="9" t="s">
        <v>76</v>
      </c>
      <c r="F185" s="10">
        <v>45532</v>
      </c>
      <c r="G185" s="9">
        <v>37</v>
      </c>
      <c r="H185" s="9">
        <v>48</v>
      </c>
      <c r="I185" s="9">
        <v>59</v>
      </c>
      <c r="J185" s="9">
        <v>31</v>
      </c>
      <c r="K185" s="9">
        <v>95</v>
      </c>
      <c r="L185" s="11">
        <v>0</v>
      </c>
    </row>
    <row r="186" spans="1:12" x14ac:dyDescent="0.35">
      <c r="A186" s="9" t="s">
        <v>431</v>
      </c>
      <c r="B186" s="9" t="s">
        <v>118</v>
      </c>
      <c r="C186" s="9" t="s">
        <v>95</v>
      </c>
      <c r="D186" s="9" t="s">
        <v>82</v>
      </c>
      <c r="E186" s="9" t="s">
        <v>83</v>
      </c>
      <c r="F186" s="10">
        <v>45533</v>
      </c>
      <c r="G186" s="9">
        <v>45</v>
      </c>
      <c r="H186" s="9">
        <v>62</v>
      </c>
      <c r="I186" s="9">
        <v>51</v>
      </c>
      <c r="J186" s="9">
        <v>36</v>
      </c>
      <c r="K186" s="9">
        <v>70</v>
      </c>
      <c r="L186" s="11">
        <v>20000</v>
      </c>
    </row>
    <row r="187" spans="1:12" x14ac:dyDescent="0.35">
      <c r="A187" s="9" t="s">
        <v>432</v>
      </c>
      <c r="B187" s="9" t="s">
        <v>433</v>
      </c>
      <c r="C187" s="9" t="s">
        <v>78</v>
      </c>
      <c r="D187" s="9" t="s">
        <v>75</v>
      </c>
      <c r="E187" s="9" t="s">
        <v>76</v>
      </c>
      <c r="F187" s="10">
        <v>45533</v>
      </c>
      <c r="G187" s="9">
        <v>21</v>
      </c>
      <c r="H187" s="9">
        <v>22</v>
      </c>
      <c r="I187" s="9">
        <v>29</v>
      </c>
      <c r="J187" s="9">
        <v>26</v>
      </c>
      <c r="K187" s="9">
        <v>53</v>
      </c>
      <c r="L187" s="11">
        <v>0</v>
      </c>
    </row>
    <row r="188" spans="1:12" x14ac:dyDescent="0.35">
      <c r="A188" s="9" t="s">
        <v>434</v>
      </c>
      <c r="B188" s="9" t="s">
        <v>435</v>
      </c>
      <c r="C188" s="9" t="s">
        <v>95</v>
      </c>
      <c r="D188" s="9" t="s">
        <v>75</v>
      </c>
      <c r="E188" s="9" t="s">
        <v>76</v>
      </c>
      <c r="F188" s="10">
        <v>45823</v>
      </c>
      <c r="G188" s="9">
        <v>31</v>
      </c>
      <c r="H188" s="9">
        <v>41</v>
      </c>
      <c r="I188" s="9">
        <v>36</v>
      </c>
      <c r="J188" s="9">
        <v>46</v>
      </c>
      <c r="K188" s="9">
        <v>60</v>
      </c>
      <c r="L188" s="11">
        <v>0</v>
      </c>
    </row>
    <row r="189" spans="1:12" x14ac:dyDescent="0.35">
      <c r="A189" s="9" t="s">
        <v>436</v>
      </c>
      <c r="B189" s="9" t="s">
        <v>437</v>
      </c>
      <c r="C189" s="9" t="s">
        <v>78</v>
      </c>
      <c r="D189" s="9" t="s">
        <v>75</v>
      </c>
      <c r="E189" s="9" t="s">
        <v>83</v>
      </c>
      <c r="F189" s="10">
        <v>45823</v>
      </c>
      <c r="G189" s="9">
        <v>63</v>
      </c>
      <c r="H189" s="9">
        <v>69</v>
      </c>
      <c r="I189" s="9">
        <v>59</v>
      </c>
      <c r="J189" s="9">
        <v>55</v>
      </c>
      <c r="K189" s="9">
        <v>73</v>
      </c>
      <c r="L189" s="11">
        <v>10000</v>
      </c>
    </row>
    <row r="190" spans="1:12" x14ac:dyDescent="0.35">
      <c r="A190" s="9" t="s">
        <v>438</v>
      </c>
      <c r="B190" s="9" t="s">
        <v>439</v>
      </c>
      <c r="C190" s="9" t="s">
        <v>85</v>
      </c>
      <c r="D190" s="9" t="s">
        <v>82</v>
      </c>
      <c r="E190" s="9" t="s">
        <v>83</v>
      </c>
      <c r="F190" s="10">
        <v>45825</v>
      </c>
      <c r="G190" s="9">
        <v>57</v>
      </c>
      <c r="H190" s="9">
        <v>71</v>
      </c>
      <c r="I190" s="9">
        <v>67</v>
      </c>
      <c r="J190" s="9">
        <v>84</v>
      </c>
      <c r="K190" s="9">
        <v>88</v>
      </c>
      <c r="L190" s="11">
        <v>0</v>
      </c>
    </row>
    <row r="191" spans="1:12" x14ac:dyDescent="0.35">
      <c r="A191" s="9" t="s">
        <v>440</v>
      </c>
      <c r="B191" s="9" t="s">
        <v>416</v>
      </c>
      <c r="C191" s="9" t="s">
        <v>78</v>
      </c>
      <c r="D191" s="9" t="s">
        <v>82</v>
      </c>
      <c r="E191" s="9" t="s">
        <v>83</v>
      </c>
      <c r="F191" s="10">
        <v>45827</v>
      </c>
      <c r="G191" s="9">
        <v>75</v>
      </c>
      <c r="H191" s="9">
        <v>99</v>
      </c>
      <c r="I191" s="9">
        <v>65</v>
      </c>
      <c r="J191" s="9">
        <v>88</v>
      </c>
      <c r="K191" s="9">
        <v>87</v>
      </c>
      <c r="L191" s="11">
        <v>0</v>
      </c>
    </row>
    <row r="192" spans="1:12" x14ac:dyDescent="0.35">
      <c r="A192" s="9" t="s">
        <v>441</v>
      </c>
      <c r="B192" s="9" t="s">
        <v>442</v>
      </c>
      <c r="C192" s="9" t="s">
        <v>85</v>
      </c>
      <c r="D192" s="9" t="s">
        <v>75</v>
      </c>
      <c r="E192" s="9" t="s">
        <v>76</v>
      </c>
      <c r="F192" s="10">
        <v>45827</v>
      </c>
      <c r="G192" s="9">
        <v>77</v>
      </c>
      <c r="H192" s="9">
        <v>74</v>
      </c>
      <c r="I192" s="9">
        <v>60</v>
      </c>
      <c r="J192" s="9">
        <v>50</v>
      </c>
      <c r="K192" s="9">
        <v>87</v>
      </c>
      <c r="L192" s="11">
        <v>0</v>
      </c>
    </row>
    <row r="193" spans="1:12" x14ac:dyDescent="0.35">
      <c r="A193" s="9" t="s">
        <v>443</v>
      </c>
      <c r="B193" s="9" t="s">
        <v>238</v>
      </c>
      <c r="C193" s="9" t="s">
        <v>89</v>
      </c>
      <c r="D193" s="9" t="s">
        <v>82</v>
      </c>
      <c r="E193" s="9" t="s">
        <v>76</v>
      </c>
      <c r="F193" s="10">
        <v>45828</v>
      </c>
      <c r="G193" s="9">
        <v>89</v>
      </c>
      <c r="H193" s="9">
        <v>71</v>
      </c>
      <c r="I193" s="9">
        <v>56</v>
      </c>
      <c r="J193" s="9">
        <v>60</v>
      </c>
      <c r="K193" s="9">
        <v>75</v>
      </c>
      <c r="L193" s="11">
        <v>0</v>
      </c>
    </row>
    <row r="194" spans="1:12" x14ac:dyDescent="0.35">
      <c r="A194" s="9" t="s">
        <v>444</v>
      </c>
      <c r="B194" s="9" t="s">
        <v>164</v>
      </c>
      <c r="C194" s="9" t="s">
        <v>85</v>
      </c>
      <c r="D194" s="9" t="s">
        <v>82</v>
      </c>
      <c r="E194" s="9" t="s">
        <v>83</v>
      </c>
      <c r="F194" s="10">
        <v>45829</v>
      </c>
      <c r="G194" s="9">
        <v>87</v>
      </c>
      <c r="H194" s="9">
        <v>95</v>
      </c>
      <c r="I194" s="9">
        <v>100</v>
      </c>
      <c r="J194" s="9">
        <v>89</v>
      </c>
      <c r="K194" s="9">
        <v>100</v>
      </c>
      <c r="L194" s="11">
        <v>10000</v>
      </c>
    </row>
    <row r="195" spans="1:12" x14ac:dyDescent="0.35">
      <c r="A195" s="9" t="s">
        <v>445</v>
      </c>
      <c r="B195" s="9" t="s">
        <v>446</v>
      </c>
      <c r="C195" s="9" t="s">
        <v>89</v>
      </c>
      <c r="D195" s="9" t="s">
        <v>82</v>
      </c>
      <c r="E195" s="9" t="s">
        <v>83</v>
      </c>
      <c r="F195" s="10">
        <v>45830</v>
      </c>
      <c r="G195" s="9">
        <v>83</v>
      </c>
      <c r="H195" s="9">
        <v>76</v>
      </c>
      <c r="I195" s="9">
        <v>61</v>
      </c>
      <c r="J195" s="9">
        <v>57</v>
      </c>
      <c r="K195" s="9">
        <v>72</v>
      </c>
      <c r="L195" s="11">
        <v>0</v>
      </c>
    </row>
    <row r="196" spans="1:12" x14ac:dyDescent="0.35">
      <c r="A196" s="9" t="s">
        <v>447</v>
      </c>
      <c r="B196" s="9" t="s">
        <v>448</v>
      </c>
      <c r="C196" s="9" t="s">
        <v>78</v>
      </c>
      <c r="D196" s="9" t="s">
        <v>82</v>
      </c>
      <c r="E196" s="9" t="s">
        <v>83</v>
      </c>
      <c r="F196" s="10">
        <v>45831</v>
      </c>
      <c r="G196" s="9">
        <v>66</v>
      </c>
      <c r="H196" s="9">
        <v>42</v>
      </c>
      <c r="I196" s="9">
        <v>72</v>
      </c>
      <c r="J196" s="9">
        <v>54</v>
      </c>
      <c r="K196" s="9">
        <v>68</v>
      </c>
      <c r="L196" s="11">
        <v>0</v>
      </c>
    </row>
    <row r="197" spans="1:12" x14ac:dyDescent="0.35">
      <c r="A197" s="9" t="s">
        <v>449</v>
      </c>
      <c r="B197" s="9" t="s">
        <v>294</v>
      </c>
      <c r="C197" s="9" t="s">
        <v>74</v>
      </c>
      <c r="D197" s="9" t="s">
        <v>75</v>
      </c>
      <c r="E197" s="9" t="s">
        <v>76</v>
      </c>
      <c r="F197" s="10">
        <v>45832</v>
      </c>
      <c r="G197" s="9">
        <v>97</v>
      </c>
      <c r="H197" s="9">
        <v>58</v>
      </c>
      <c r="I197" s="9">
        <v>80</v>
      </c>
      <c r="J197" s="9">
        <v>74</v>
      </c>
      <c r="K197" s="9">
        <v>77</v>
      </c>
      <c r="L197" s="11">
        <v>0</v>
      </c>
    </row>
    <row r="198" spans="1:12" x14ac:dyDescent="0.35">
      <c r="A198" s="9" t="s">
        <v>450</v>
      </c>
      <c r="B198" s="9" t="s">
        <v>274</v>
      </c>
      <c r="C198" s="9" t="s">
        <v>78</v>
      </c>
      <c r="D198" s="9" t="s">
        <v>75</v>
      </c>
      <c r="E198" s="9" t="s">
        <v>76</v>
      </c>
      <c r="F198" s="10">
        <v>45832</v>
      </c>
      <c r="G198" s="9">
        <v>38</v>
      </c>
      <c r="H198" s="9">
        <v>42</v>
      </c>
      <c r="I198" s="9">
        <v>50</v>
      </c>
      <c r="J198" s="9">
        <v>48</v>
      </c>
      <c r="K198" s="9">
        <v>72</v>
      </c>
      <c r="L198" s="11">
        <v>30000</v>
      </c>
    </row>
    <row r="199" spans="1:12" x14ac:dyDescent="0.35">
      <c r="A199" s="9" t="s">
        <v>451</v>
      </c>
      <c r="B199" s="9" t="s">
        <v>452</v>
      </c>
      <c r="C199" s="9" t="s">
        <v>74</v>
      </c>
      <c r="D199" s="9" t="s">
        <v>82</v>
      </c>
      <c r="E199" s="9" t="s">
        <v>83</v>
      </c>
      <c r="F199" s="10">
        <v>45833</v>
      </c>
      <c r="G199" s="9">
        <v>56</v>
      </c>
      <c r="H199" s="9">
        <v>50</v>
      </c>
      <c r="I199" s="9">
        <v>28</v>
      </c>
      <c r="J199" s="9">
        <v>56</v>
      </c>
      <c r="K199" s="9">
        <v>78</v>
      </c>
      <c r="L199" s="11">
        <v>0</v>
      </c>
    </row>
    <row r="200" spans="1:12" x14ac:dyDescent="0.35">
      <c r="A200" s="9" t="s">
        <v>453</v>
      </c>
      <c r="B200" s="9" t="s">
        <v>454</v>
      </c>
      <c r="C200" s="9" t="s">
        <v>74</v>
      </c>
      <c r="D200" s="9" t="s">
        <v>75</v>
      </c>
      <c r="E200" s="9" t="s">
        <v>76</v>
      </c>
      <c r="F200" s="10">
        <v>45834</v>
      </c>
      <c r="G200" s="9">
        <v>39</v>
      </c>
      <c r="H200" s="9">
        <v>63</v>
      </c>
      <c r="I200" s="9">
        <v>35</v>
      </c>
      <c r="J200" s="9">
        <v>61</v>
      </c>
      <c r="K200" s="9">
        <v>86</v>
      </c>
      <c r="L200" s="11">
        <v>0</v>
      </c>
    </row>
    <row r="201" spans="1:12" x14ac:dyDescent="0.35">
      <c r="A201" s="9" t="s">
        <v>455</v>
      </c>
      <c r="B201" s="9" t="s">
        <v>456</v>
      </c>
      <c r="C201" s="9" t="s">
        <v>78</v>
      </c>
      <c r="D201" s="9" t="s">
        <v>75</v>
      </c>
      <c r="E201" s="9" t="s">
        <v>83</v>
      </c>
      <c r="F201" s="10">
        <v>45834</v>
      </c>
      <c r="G201" s="9">
        <v>67</v>
      </c>
      <c r="H201" s="9">
        <v>45</v>
      </c>
      <c r="I201" s="9">
        <v>74</v>
      </c>
      <c r="J201" s="9">
        <v>76</v>
      </c>
      <c r="K201" s="9">
        <v>83</v>
      </c>
      <c r="L201" s="11">
        <v>0</v>
      </c>
    </row>
    <row r="202" spans="1:12" x14ac:dyDescent="0.35">
      <c r="A202" s="9" t="s">
        <v>457</v>
      </c>
      <c r="B202" s="9" t="s">
        <v>458</v>
      </c>
      <c r="C202" s="9" t="s">
        <v>85</v>
      </c>
      <c r="D202" s="9" t="s">
        <v>75</v>
      </c>
      <c r="E202" s="9" t="s">
        <v>83</v>
      </c>
      <c r="F202" s="10">
        <v>45835</v>
      </c>
      <c r="G202" s="9">
        <v>67</v>
      </c>
      <c r="H202" s="9">
        <v>77</v>
      </c>
      <c r="I202" s="9">
        <v>87</v>
      </c>
      <c r="J202" s="9">
        <v>79</v>
      </c>
      <c r="K202" s="9">
        <v>89</v>
      </c>
      <c r="L202" s="11">
        <v>20000</v>
      </c>
    </row>
    <row r="203" spans="1:12" x14ac:dyDescent="0.35">
      <c r="A203" s="9" t="s">
        <v>459</v>
      </c>
      <c r="B203" s="9" t="s">
        <v>460</v>
      </c>
      <c r="C203" s="9" t="s">
        <v>85</v>
      </c>
      <c r="D203" s="9" t="s">
        <v>75</v>
      </c>
      <c r="E203" s="9" t="s">
        <v>76</v>
      </c>
      <c r="F203" s="10">
        <v>45837</v>
      </c>
      <c r="G203" s="9">
        <v>51</v>
      </c>
      <c r="H203" s="9">
        <v>61</v>
      </c>
      <c r="I203" s="9">
        <v>46</v>
      </c>
      <c r="J203" s="9">
        <v>64</v>
      </c>
      <c r="K203" s="9">
        <v>73</v>
      </c>
      <c r="L203" s="11">
        <v>0</v>
      </c>
    </row>
    <row r="204" spans="1:12" x14ac:dyDescent="0.35">
      <c r="A204" s="9" t="s">
        <v>461</v>
      </c>
      <c r="B204" s="9" t="s">
        <v>462</v>
      </c>
      <c r="C204" s="9" t="s">
        <v>95</v>
      </c>
      <c r="D204" s="9" t="s">
        <v>82</v>
      </c>
      <c r="E204" s="9" t="s">
        <v>76</v>
      </c>
      <c r="F204" s="10">
        <v>45838</v>
      </c>
      <c r="G204" s="9">
        <v>57</v>
      </c>
      <c r="H204" s="9">
        <v>46</v>
      </c>
      <c r="I204" s="9">
        <v>58</v>
      </c>
      <c r="J204" s="9">
        <v>72</v>
      </c>
      <c r="K204" s="9">
        <v>84</v>
      </c>
      <c r="L204" s="11">
        <v>0</v>
      </c>
    </row>
    <row r="205" spans="1:12" x14ac:dyDescent="0.35">
      <c r="A205" s="9" t="s">
        <v>463</v>
      </c>
      <c r="B205" s="9" t="s">
        <v>464</v>
      </c>
      <c r="C205" s="9" t="s">
        <v>78</v>
      </c>
      <c r="D205" s="9" t="s">
        <v>75</v>
      </c>
      <c r="E205" s="9" t="s">
        <v>76</v>
      </c>
      <c r="F205" s="10">
        <v>45839</v>
      </c>
      <c r="G205" s="9">
        <v>53</v>
      </c>
      <c r="H205" s="9">
        <v>61</v>
      </c>
      <c r="I205" s="9">
        <v>75</v>
      </c>
      <c r="J205" s="9">
        <v>64</v>
      </c>
      <c r="K205" s="9">
        <v>76</v>
      </c>
      <c r="L205" s="11">
        <v>0</v>
      </c>
    </row>
    <row r="206" spans="1:12" x14ac:dyDescent="0.35">
      <c r="A206" s="9" t="s">
        <v>465</v>
      </c>
      <c r="B206" s="9" t="s">
        <v>466</v>
      </c>
      <c r="C206" s="9" t="s">
        <v>78</v>
      </c>
      <c r="D206" s="9" t="s">
        <v>82</v>
      </c>
      <c r="E206" s="9" t="s">
        <v>83</v>
      </c>
      <c r="F206" s="10">
        <v>45839</v>
      </c>
      <c r="G206" s="9">
        <v>60</v>
      </c>
      <c r="H206" s="9">
        <v>79</v>
      </c>
      <c r="I206" s="9">
        <v>57</v>
      </c>
      <c r="J206" s="9">
        <v>69</v>
      </c>
      <c r="K206" s="9">
        <v>65</v>
      </c>
      <c r="L206" s="11">
        <v>0</v>
      </c>
    </row>
    <row r="207" spans="1:12" x14ac:dyDescent="0.35">
      <c r="A207" s="9" t="s">
        <v>467</v>
      </c>
      <c r="B207" s="9" t="s">
        <v>468</v>
      </c>
      <c r="C207" s="9" t="s">
        <v>89</v>
      </c>
      <c r="D207" s="9" t="s">
        <v>75</v>
      </c>
      <c r="E207" s="9" t="s">
        <v>76</v>
      </c>
      <c r="F207" s="10">
        <v>45842</v>
      </c>
      <c r="G207" s="9">
        <v>64</v>
      </c>
      <c r="H207" s="9">
        <v>54</v>
      </c>
      <c r="I207" s="9">
        <v>76</v>
      </c>
      <c r="J207" s="9">
        <v>54</v>
      </c>
      <c r="K207" s="9">
        <v>73</v>
      </c>
      <c r="L207" s="11">
        <v>20000</v>
      </c>
    </row>
    <row r="208" spans="1:12" x14ac:dyDescent="0.35">
      <c r="A208" s="9" t="s">
        <v>469</v>
      </c>
      <c r="B208" s="9" t="s">
        <v>214</v>
      </c>
      <c r="C208" s="9" t="s">
        <v>78</v>
      </c>
      <c r="D208" s="9" t="s">
        <v>82</v>
      </c>
      <c r="E208" s="9" t="s">
        <v>76</v>
      </c>
      <c r="F208" s="10">
        <v>45843</v>
      </c>
      <c r="G208" s="9">
        <v>83</v>
      </c>
      <c r="H208" s="9">
        <v>54</v>
      </c>
      <c r="I208" s="9">
        <v>70</v>
      </c>
      <c r="J208" s="9">
        <v>71</v>
      </c>
      <c r="K208" s="9">
        <v>81</v>
      </c>
      <c r="L208" s="11">
        <v>0</v>
      </c>
    </row>
    <row r="209" spans="1:12" x14ac:dyDescent="0.35">
      <c r="A209" s="9" t="s">
        <v>470</v>
      </c>
      <c r="B209" s="9" t="s">
        <v>471</v>
      </c>
      <c r="C209" s="9" t="s">
        <v>95</v>
      </c>
      <c r="D209" s="9" t="s">
        <v>75</v>
      </c>
      <c r="E209" s="9" t="s">
        <v>76</v>
      </c>
      <c r="F209" s="10">
        <v>45845</v>
      </c>
      <c r="G209" s="9">
        <v>12</v>
      </c>
      <c r="H209" s="9">
        <v>45</v>
      </c>
      <c r="I209" s="9">
        <v>33</v>
      </c>
      <c r="J209" s="9">
        <v>36</v>
      </c>
      <c r="K209" s="9">
        <v>70</v>
      </c>
      <c r="L209" s="11">
        <v>0</v>
      </c>
    </row>
    <row r="210" spans="1:12" x14ac:dyDescent="0.35">
      <c r="A210" s="9" t="s">
        <v>472</v>
      </c>
      <c r="B210" s="9" t="s">
        <v>282</v>
      </c>
      <c r="C210" s="9" t="s">
        <v>85</v>
      </c>
      <c r="D210" s="9" t="s">
        <v>75</v>
      </c>
      <c r="E210" s="9" t="s">
        <v>83</v>
      </c>
      <c r="F210" s="10">
        <v>45845</v>
      </c>
      <c r="G210" s="9">
        <v>66</v>
      </c>
      <c r="H210" s="9">
        <v>68</v>
      </c>
      <c r="I210" s="9">
        <v>64</v>
      </c>
      <c r="J210" s="9">
        <v>74</v>
      </c>
      <c r="K210" s="9">
        <v>69</v>
      </c>
      <c r="L210" s="11">
        <v>0</v>
      </c>
    </row>
    <row r="211" spans="1:12" x14ac:dyDescent="0.35">
      <c r="A211" s="9" t="s">
        <v>473</v>
      </c>
      <c r="B211" s="9" t="s">
        <v>183</v>
      </c>
      <c r="C211" s="9" t="s">
        <v>78</v>
      </c>
      <c r="D211" s="9" t="s">
        <v>82</v>
      </c>
      <c r="E211" s="9" t="s">
        <v>83</v>
      </c>
      <c r="F211" s="10">
        <v>45847</v>
      </c>
      <c r="G211" s="9">
        <v>96</v>
      </c>
      <c r="H211" s="9">
        <v>65</v>
      </c>
      <c r="I211" s="9">
        <v>70</v>
      </c>
      <c r="J211" s="9">
        <v>69</v>
      </c>
      <c r="K211" s="9">
        <v>88</v>
      </c>
      <c r="L211" s="11">
        <v>10000</v>
      </c>
    </row>
    <row r="212" spans="1:12" x14ac:dyDescent="0.35">
      <c r="A212" s="9" t="s">
        <v>474</v>
      </c>
      <c r="B212" s="9" t="s">
        <v>475</v>
      </c>
      <c r="C212" s="9" t="s">
        <v>89</v>
      </c>
      <c r="D212" s="9" t="s">
        <v>82</v>
      </c>
      <c r="E212" s="9" t="s">
        <v>76</v>
      </c>
      <c r="F212" s="10">
        <v>45848</v>
      </c>
      <c r="G212" s="9">
        <v>33</v>
      </c>
      <c r="H212" s="9">
        <v>81</v>
      </c>
      <c r="I212" s="9">
        <v>58</v>
      </c>
      <c r="J212" s="9">
        <v>47</v>
      </c>
      <c r="K212" s="9">
        <v>61</v>
      </c>
      <c r="L212" s="11">
        <v>0</v>
      </c>
    </row>
    <row r="213" spans="1:12" x14ac:dyDescent="0.35">
      <c r="A213" s="9" t="s">
        <v>476</v>
      </c>
      <c r="B213" s="9" t="s">
        <v>189</v>
      </c>
      <c r="C213" s="9" t="s">
        <v>78</v>
      </c>
      <c r="D213" s="9" t="s">
        <v>82</v>
      </c>
      <c r="E213" s="9" t="s">
        <v>83</v>
      </c>
      <c r="F213" s="10">
        <v>45849</v>
      </c>
      <c r="G213" s="9">
        <v>78</v>
      </c>
      <c r="H213" s="9">
        <v>75</v>
      </c>
      <c r="I213" s="9">
        <v>72</v>
      </c>
      <c r="J213" s="9">
        <v>73</v>
      </c>
      <c r="K213" s="9">
        <v>84</v>
      </c>
      <c r="L213" s="11">
        <v>20000</v>
      </c>
    </row>
    <row r="214" spans="1:12" x14ac:dyDescent="0.35">
      <c r="A214" s="9" t="s">
        <v>477</v>
      </c>
      <c r="B214" s="9" t="s">
        <v>478</v>
      </c>
      <c r="C214" s="9" t="s">
        <v>78</v>
      </c>
      <c r="D214" s="9" t="s">
        <v>75</v>
      </c>
      <c r="E214" s="9" t="s">
        <v>76</v>
      </c>
      <c r="F214" s="10">
        <v>45850</v>
      </c>
      <c r="G214" s="9">
        <v>38</v>
      </c>
      <c r="H214" s="9">
        <v>45</v>
      </c>
      <c r="I214" s="9">
        <v>45</v>
      </c>
      <c r="J214" s="9">
        <v>50</v>
      </c>
      <c r="K214" s="9">
        <v>99</v>
      </c>
      <c r="L214" s="11">
        <v>0</v>
      </c>
    </row>
    <row r="215" spans="1:12" x14ac:dyDescent="0.35">
      <c r="A215" s="9" t="s">
        <v>479</v>
      </c>
      <c r="B215" s="9" t="s">
        <v>480</v>
      </c>
      <c r="C215" s="9" t="s">
        <v>95</v>
      </c>
      <c r="D215" s="9" t="s">
        <v>75</v>
      </c>
      <c r="E215" s="9" t="s">
        <v>76</v>
      </c>
      <c r="F215" s="10">
        <v>45852</v>
      </c>
      <c r="G215" s="9">
        <v>81</v>
      </c>
      <c r="H215" s="9">
        <v>74</v>
      </c>
      <c r="I215" s="9">
        <v>65</v>
      </c>
      <c r="J215" s="9">
        <v>81</v>
      </c>
      <c r="K215" s="9">
        <v>89</v>
      </c>
      <c r="L215" s="11">
        <v>30000</v>
      </c>
    </row>
    <row r="216" spans="1:12" x14ac:dyDescent="0.35">
      <c r="A216" s="9" t="s">
        <v>481</v>
      </c>
      <c r="B216" s="9" t="s">
        <v>388</v>
      </c>
      <c r="C216" s="9" t="s">
        <v>78</v>
      </c>
      <c r="D216" s="9" t="s">
        <v>75</v>
      </c>
      <c r="E216" s="9" t="s">
        <v>83</v>
      </c>
      <c r="F216" s="10">
        <v>45855</v>
      </c>
      <c r="G216" s="9">
        <v>70</v>
      </c>
      <c r="H216" s="9">
        <v>75</v>
      </c>
      <c r="I216" s="9">
        <v>62</v>
      </c>
      <c r="J216" s="9">
        <v>96</v>
      </c>
      <c r="K216" s="9">
        <v>81</v>
      </c>
      <c r="L216" s="11">
        <v>30000</v>
      </c>
    </row>
    <row r="217" spans="1:12" x14ac:dyDescent="0.35">
      <c r="A217" s="9" t="s">
        <v>482</v>
      </c>
      <c r="B217" s="9" t="s">
        <v>483</v>
      </c>
      <c r="C217" s="9" t="s">
        <v>78</v>
      </c>
      <c r="D217" s="9" t="s">
        <v>82</v>
      </c>
      <c r="E217" s="9" t="s">
        <v>76</v>
      </c>
      <c r="F217" s="10">
        <v>45856</v>
      </c>
      <c r="G217" s="9">
        <v>67</v>
      </c>
      <c r="H217" s="9">
        <v>42</v>
      </c>
      <c r="I217" s="9">
        <v>43</v>
      </c>
      <c r="J217" s="9">
        <v>31</v>
      </c>
      <c r="K217" s="9">
        <v>81</v>
      </c>
      <c r="L217" s="11">
        <v>0</v>
      </c>
    </row>
    <row r="218" spans="1:12" x14ac:dyDescent="0.35">
      <c r="A218" s="9" t="s">
        <v>484</v>
      </c>
      <c r="B218" s="9" t="s">
        <v>485</v>
      </c>
      <c r="C218" s="9" t="s">
        <v>85</v>
      </c>
      <c r="D218" s="9" t="s">
        <v>82</v>
      </c>
      <c r="E218" s="9" t="s">
        <v>83</v>
      </c>
      <c r="F218" s="10">
        <v>45857</v>
      </c>
      <c r="G218" s="9">
        <v>53</v>
      </c>
      <c r="H218" s="9">
        <v>29</v>
      </c>
      <c r="I218" s="9">
        <v>51</v>
      </c>
      <c r="J218" s="9">
        <v>18</v>
      </c>
      <c r="K218" s="9">
        <v>75</v>
      </c>
      <c r="L218" s="11">
        <v>0</v>
      </c>
    </row>
    <row r="219" spans="1:12" x14ac:dyDescent="0.35">
      <c r="A219" s="9" t="s">
        <v>486</v>
      </c>
      <c r="B219" s="9" t="s">
        <v>261</v>
      </c>
      <c r="C219" s="9" t="s">
        <v>85</v>
      </c>
      <c r="D219" s="9" t="s">
        <v>82</v>
      </c>
      <c r="E219" s="9" t="s">
        <v>83</v>
      </c>
      <c r="F219" s="10">
        <v>45861</v>
      </c>
      <c r="G219" s="9">
        <v>86</v>
      </c>
      <c r="H219" s="9">
        <v>70</v>
      </c>
      <c r="I219" s="9">
        <v>81</v>
      </c>
      <c r="J219" s="9">
        <v>88</v>
      </c>
      <c r="K219" s="9">
        <v>100</v>
      </c>
      <c r="L219" s="11">
        <v>20000</v>
      </c>
    </row>
    <row r="220" spans="1:12" x14ac:dyDescent="0.35">
      <c r="A220" s="9" t="s">
        <v>487</v>
      </c>
      <c r="B220" s="9" t="s">
        <v>488</v>
      </c>
      <c r="C220" s="9" t="s">
        <v>74</v>
      </c>
      <c r="D220" s="9" t="s">
        <v>75</v>
      </c>
      <c r="E220" s="9" t="s">
        <v>76</v>
      </c>
      <c r="F220" s="10">
        <v>45862</v>
      </c>
      <c r="G220" s="9">
        <v>61</v>
      </c>
      <c r="H220" s="9">
        <v>67</v>
      </c>
      <c r="I220" s="9">
        <v>61</v>
      </c>
      <c r="J220" s="9">
        <v>62</v>
      </c>
      <c r="K220" s="9">
        <v>75</v>
      </c>
      <c r="L220" s="11">
        <v>10000</v>
      </c>
    </row>
    <row r="221" spans="1:12" x14ac:dyDescent="0.35">
      <c r="A221" s="9" t="s">
        <v>489</v>
      </c>
      <c r="B221" s="9" t="s">
        <v>316</v>
      </c>
      <c r="C221" s="9" t="s">
        <v>78</v>
      </c>
      <c r="D221" s="9" t="s">
        <v>82</v>
      </c>
      <c r="E221" s="9" t="s">
        <v>76</v>
      </c>
      <c r="F221" s="10">
        <v>45864</v>
      </c>
      <c r="G221" s="9">
        <v>64</v>
      </c>
      <c r="H221" s="9">
        <v>75</v>
      </c>
      <c r="I221" s="9">
        <v>29</v>
      </c>
      <c r="J221" s="9">
        <v>42</v>
      </c>
      <c r="K221" s="9">
        <v>96</v>
      </c>
      <c r="L221" s="11">
        <v>0</v>
      </c>
    </row>
    <row r="222" spans="1:12" x14ac:dyDescent="0.35">
      <c r="A222" s="9" t="s">
        <v>490</v>
      </c>
      <c r="B222" s="9" t="s">
        <v>195</v>
      </c>
      <c r="C222" s="9" t="s">
        <v>78</v>
      </c>
      <c r="D222" s="9" t="s">
        <v>82</v>
      </c>
      <c r="E222" s="9" t="s">
        <v>83</v>
      </c>
      <c r="F222" s="10">
        <v>45864</v>
      </c>
      <c r="G222" s="9">
        <v>58</v>
      </c>
      <c r="H222" s="9">
        <v>69</v>
      </c>
      <c r="I222" s="9">
        <v>58</v>
      </c>
      <c r="J222" s="9">
        <v>42</v>
      </c>
      <c r="K222" s="9">
        <v>56</v>
      </c>
      <c r="L222" s="11">
        <v>0</v>
      </c>
    </row>
    <row r="223" spans="1:12" x14ac:dyDescent="0.35">
      <c r="A223" s="9" t="s">
        <v>491</v>
      </c>
      <c r="B223" s="9" t="s">
        <v>404</v>
      </c>
      <c r="C223" s="9" t="s">
        <v>78</v>
      </c>
      <c r="D223" s="9" t="s">
        <v>82</v>
      </c>
      <c r="E223" s="9" t="s">
        <v>83</v>
      </c>
      <c r="F223" s="10">
        <v>45866</v>
      </c>
      <c r="G223" s="9">
        <v>64</v>
      </c>
      <c r="H223" s="9">
        <v>57</v>
      </c>
      <c r="I223" s="9">
        <v>62</v>
      </c>
      <c r="J223" s="9">
        <v>46</v>
      </c>
      <c r="K223" s="9">
        <v>79</v>
      </c>
      <c r="L223" s="11">
        <v>20000</v>
      </c>
    </row>
    <row r="224" spans="1:12" x14ac:dyDescent="0.35">
      <c r="A224" s="9" t="s">
        <v>492</v>
      </c>
      <c r="B224" s="9" t="s">
        <v>337</v>
      </c>
      <c r="C224" s="9" t="s">
        <v>95</v>
      </c>
      <c r="D224" s="9" t="s">
        <v>82</v>
      </c>
      <c r="E224" s="9" t="s">
        <v>76</v>
      </c>
      <c r="F224" s="10">
        <v>45869</v>
      </c>
      <c r="G224" s="9">
        <v>41</v>
      </c>
      <c r="H224" s="9">
        <v>44</v>
      </c>
      <c r="I224" s="9">
        <v>36</v>
      </c>
      <c r="J224" s="9">
        <v>31</v>
      </c>
      <c r="K224" s="9">
        <v>85</v>
      </c>
      <c r="L224" s="11">
        <v>0</v>
      </c>
    </row>
    <row r="225" spans="1:12" x14ac:dyDescent="0.35">
      <c r="A225" s="9" t="s">
        <v>493</v>
      </c>
      <c r="B225" s="9" t="s">
        <v>494</v>
      </c>
      <c r="C225" s="9" t="s">
        <v>85</v>
      </c>
      <c r="D225" s="9" t="s">
        <v>75</v>
      </c>
      <c r="E225" s="9" t="s">
        <v>83</v>
      </c>
      <c r="F225" s="10">
        <v>45871</v>
      </c>
      <c r="G225" s="9">
        <v>43</v>
      </c>
      <c r="H225" s="9">
        <v>36</v>
      </c>
      <c r="I225" s="9">
        <v>68</v>
      </c>
      <c r="J225" s="9">
        <v>35</v>
      </c>
      <c r="K225" s="9">
        <v>99</v>
      </c>
      <c r="L225" s="11">
        <v>20000</v>
      </c>
    </row>
    <row r="226" spans="1:12" x14ac:dyDescent="0.35">
      <c r="A226" s="9" t="s">
        <v>495</v>
      </c>
      <c r="B226" s="9" t="s">
        <v>496</v>
      </c>
      <c r="C226" s="9" t="s">
        <v>78</v>
      </c>
      <c r="D226" s="9" t="s">
        <v>75</v>
      </c>
      <c r="E226" s="9" t="s">
        <v>76</v>
      </c>
      <c r="F226" s="10">
        <v>45871</v>
      </c>
      <c r="G226" s="9">
        <v>46</v>
      </c>
      <c r="H226" s="9">
        <v>55</v>
      </c>
      <c r="I226" s="9">
        <v>29</v>
      </c>
      <c r="J226" s="9">
        <v>43</v>
      </c>
      <c r="K226" s="9">
        <v>73</v>
      </c>
      <c r="L226" s="11">
        <v>0</v>
      </c>
    </row>
    <row r="227" spans="1:12" x14ac:dyDescent="0.35">
      <c r="A227" s="9" t="s">
        <v>497</v>
      </c>
      <c r="B227" s="9" t="s">
        <v>259</v>
      </c>
      <c r="C227" s="9" t="s">
        <v>78</v>
      </c>
      <c r="D227" s="9" t="s">
        <v>75</v>
      </c>
      <c r="E227" s="9" t="s">
        <v>76</v>
      </c>
      <c r="F227" s="10">
        <v>45872</v>
      </c>
      <c r="G227" s="9">
        <v>75</v>
      </c>
      <c r="H227" s="9">
        <v>59</v>
      </c>
      <c r="I227" s="9">
        <v>56</v>
      </c>
      <c r="J227" s="9">
        <v>72</v>
      </c>
      <c r="K227" s="9">
        <v>94</v>
      </c>
      <c r="L227" s="11">
        <v>20000</v>
      </c>
    </row>
    <row r="228" spans="1:12" x14ac:dyDescent="0.35">
      <c r="A228" s="9" t="s">
        <v>498</v>
      </c>
      <c r="B228" s="9" t="s">
        <v>499</v>
      </c>
      <c r="C228" s="9" t="s">
        <v>85</v>
      </c>
      <c r="D228" s="9" t="s">
        <v>82</v>
      </c>
      <c r="E228" s="9" t="s">
        <v>76</v>
      </c>
      <c r="F228" s="10">
        <v>45872</v>
      </c>
      <c r="G228" s="9">
        <v>75</v>
      </c>
      <c r="H228" s="9">
        <v>80</v>
      </c>
      <c r="I228" s="9">
        <v>98</v>
      </c>
      <c r="J228" s="9">
        <v>75</v>
      </c>
      <c r="K228" s="9">
        <v>94</v>
      </c>
      <c r="L228" s="11">
        <v>0</v>
      </c>
    </row>
    <row r="229" spans="1:12" x14ac:dyDescent="0.35">
      <c r="A229" s="9" t="s">
        <v>500</v>
      </c>
      <c r="B229" s="9" t="s">
        <v>501</v>
      </c>
      <c r="C229" s="9" t="s">
        <v>74</v>
      </c>
      <c r="D229" s="9" t="s">
        <v>82</v>
      </c>
      <c r="E229" s="9" t="s">
        <v>76</v>
      </c>
      <c r="F229" s="10">
        <v>45874</v>
      </c>
      <c r="G229" s="9">
        <v>77</v>
      </c>
      <c r="H229" s="9">
        <v>100</v>
      </c>
      <c r="I229" s="9">
        <v>93</v>
      </c>
      <c r="J229" s="9">
        <v>81</v>
      </c>
      <c r="K229" s="9">
        <v>66</v>
      </c>
      <c r="L229" s="11">
        <v>0</v>
      </c>
    </row>
    <row r="230" spans="1:12" x14ac:dyDescent="0.35">
      <c r="A230" s="9" t="s">
        <v>502</v>
      </c>
      <c r="B230" s="9" t="s">
        <v>503</v>
      </c>
      <c r="C230" s="9" t="s">
        <v>85</v>
      </c>
      <c r="D230" s="9" t="s">
        <v>82</v>
      </c>
      <c r="E230" s="9" t="s">
        <v>76</v>
      </c>
      <c r="F230" s="10">
        <v>45874</v>
      </c>
      <c r="G230" s="9">
        <v>59</v>
      </c>
      <c r="H230" s="9">
        <v>17</v>
      </c>
      <c r="I230" s="9">
        <v>30</v>
      </c>
      <c r="J230" s="9">
        <v>63</v>
      </c>
      <c r="K230" s="9">
        <v>74</v>
      </c>
      <c r="L230" s="11">
        <v>0</v>
      </c>
    </row>
    <row r="231" spans="1:12" x14ac:dyDescent="0.35">
      <c r="A231" s="9" t="s">
        <v>504</v>
      </c>
      <c r="B231" s="9" t="s">
        <v>505</v>
      </c>
      <c r="C231" s="9" t="s">
        <v>74</v>
      </c>
      <c r="D231" s="9" t="s">
        <v>75</v>
      </c>
      <c r="E231" s="9" t="s">
        <v>83</v>
      </c>
      <c r="F231" s="10">
        <v>45878</v>
      </c>
      <c r="G231" s="9">
        <v>40</v>
      </c>
      <c r="H231" s="9">
        <v>56</v>
      </c>
      <c r="I231" s="9">
        <v>90</v>
      </c>
      <c r="J231" s="9">
        <v>55</v>
      </c>
      <c r="K231" s="9">
        <v>100</v>
      </c>
      <c r="L231" s="11">
        <v>0</v>
      </c>
    </row>
    <row r="232" spans="1:12" x14ac:dyDescent="0.35">
      <c r="A232" s="9" t="s">
        <v>506</v>
      </c>
      <c r="B232" s="9" t="s">
        <v>507</v>
      </c>
      <c r="C232" s="9" t="s">
        <v>78</v>
      </c>
      <c r="D232" s="9" t="s">
        <v>82</v>
      </c>
      <c r="E232" s="9" t="s">
        <v>76</v>
      </c>
      <c r="F232" s="10">
        <v>45878</v>
      </c>
      <c r="G232" s="9">
        <v>32</v>
      </c>
      <c r="H232" s="9">
        <v>15</v>
      </c>
      <c r="I232" s="9">
        <v>30</v>
      </c>
      <c r="J232" s="9">
        <v>51</v>
      </c>
      <c r="K232" s="9">
        <v>85</v>
      </c>
      <c r="L232" s="11">
        <v>0</v>
      </c>
    </row>
    <row r="233" spans="1:12" x14ac:dyDescent="0.35">
      <c r="A233" s="9" t="s">
        <v>508</v>
      </c>
      <c r="B233" s="9" t="s">
        <v>509</v>
      </c>
      <c r="C233" s="9" t="s">
        <v>89</v>
      </c>
      <c r="D233" s="9" t="s">
        <v>82</v>
      </c>
      <c r="E233" s="9" t="s">
        <v>83</v>
      </c>
      <c r="F233" s="10">
        <v>45880</v>
      </c>
      <c r="G233" s="9">
        <v>52</v>
      </c>
      <c r="H233" s="9">
        <v>44</v>
      </c>
      <c r="I233" s="9">
        <v>47</v>
      </c>
      <c r="J233" s="9">
        <v>65</v>
      </c>
      <c r="K233" s="9">
        <v>85</v>
      </c>
      <c r="L233" s="11">
        <v>20000</v>
      </c>
    </row>
    <row r="234" spans="1:12" x14ac:dyDescent="0.35">
      <c r="A234" s="9" t="s">
        <v>510</v>
      </c>
      <c r="B234" s="9" t="s">
        <v>197</v>
      </c>
      <c r="C234" s="9" t="s">
        <v>89</v>
      </c>
      <c r="D234" s="9" t="s">
        <v>75</v>
      </c>
      <c r="E234" s="9" t="s">
        <v>76</v>
      </c>
      <c r="F234" s="10">
        <v>45881</v>
      </c>
      <c r="G234" s="9">
        <v>81</v>
      </c>
      <c r="H234" s="9">
        <v>66</v>
      </c>
      <c r="I234" s="9">
        <v>65</v>
      </c>
      <c r="J234" s="9">
        <v>57</v>
      </c>
      <c r="K234" s="9">
        <v>100</v>
      </c>
      <c r="L234" s="11">
        <v>0</v>
      </c>
    </row>
    <row r="235" spans="1:12" x14ac:dyDescent="0.35">
      <c r="A235" s="9" t="s">
        <v>511</v>
      </c>
      <c r="B235" s="9" t="s">
        <v>512</v>
      </c>
      <c r="C235" s="9" t="s">
        <v>78</v>
      </c>
      <c r="D235" s="9" t="s">
        <v>82</v>
      </c>
      <c r="E235" s="9" t="s">
        <v>83</v>
      </c>
      <c r="F235" s="10">
        <v>45883</v>
      </c>
      <c r="G235" s="9">
        <v>64</v>
      </c>
      <c r="H235" s="9">
        <v>80</v>
      </c>
      <c r="I235" s="9">
        <v>75</v>
      </c>
      <c r="J235" s="9">
        <v>75</v>
      </c>
      <c r="K235" s="9">
        <v>89</v>
      </c>
      <c r="L235" s="11">
        <v>0</v>
      </c>
    </row>
    <row r="236" spans="1:12" x14ac:dyDescent="0.35">
      <c r="A236" s="9" t="s">
        <v>513</v>
      </c>
      <c r="B236" s="9" t="s">
        <v>483</v>
      </c>
      <c r="C236" s="9" t="s">
        <v>74</v>
      </c>
      <c r="D236" s="9" t="s">
        <v>82</v>
      </c>
      <c r="E236" s="9" t="s">
        <v>83</v>
      </c>
      <c r="F236" s="10">
        <v>45884</v>
      </c>
      <c r="G236" s="9">
        <v>39</v>
      </c>
      <c r="H236" s="9">
        <v>35</v>
      </c>
      <c r="I236" s="9">
        <v>30</v>
      </c>
      <c r="J236" s="9">
        <v>61</v>
      </c>
      <c r="K236" s="9">
        <v>85</v>
      </c>
      <c r="L236" s="11">
        <v>0</v>
      </c>
    </row>
    <row r="237" spans="1:12" x14ac:dyDescent="0.35">
      <c r="A237" s="9" t="s">
        <v>514</v>
      </c>
      <c r="B237" s="9" t="s">
        <v>515</v>
      </c>
      <c r="C237" s="9" t="s">
        <v>78</v>
      </c>
      <c r="D237" s="9" t="s">
        <v>75</v>
      </c>
      <c r="E237" s="9" t="s">
        <v>76</v>
      </c>
      <c r="F237" s="10">
        <v>45885</v>
      </c>
      <c r="G237" s="9">
        <v>68</v>
      </c>
      <c r="H237" s="9">
        <v>53</v>
      </c>
      <c r="I237" s="9">
        <v>72</v>
      </c>
      <c r="J237" s="9">
        <v>71</v>
      </c>
      <c r="K237" s="9">
        <v>55</v>
      </c>
      <c r="L237" s="11">
        <v>0</v>
      </c>
    </row>
    <row r="238" spans="1:12" x14ac:dyDescent="0.35">
      <c r="A238" s="9" t="s">
        <v>516</v>
      </c>
      <c r="B238" s="9" t="s">
        <v>324</v>
      </c>
      <c r="C238" s="9" t="s">
        <v>78</v>
      </c>
      <c r="D238" s="9" t="s">
        <v>82</v>
      </c>
      <c r="E238" s="9" t="s">
        <v>76</v>
      </c>
      <c r="F238" s="10">
        <v>45886</v>
      </c>
      <c r="G238" s="9">
        <v>99</v>
      </c>
      <c r="H238" s="9">
        <v>80</v>
      </c>
      <c r="I238" s="9">
        <v>70</v>
      </c>
      <c r="J238" s="9">
        <v>86</v>
      </c>
      <c r="K238" s="9">
        <v>86</v>
      </c>
      <c r="L238" s="11">
        <v>30000</v>
      </c>
    </row>
    <row r="239" spans="1:12" x14ac:dyDescent="0.35">
      <c r="A239" s="9" t="s">
        <v>517</v>
      </c>
      <c r="B239" s="9" t="s">
        <v>518</v>
      </c>
      <c r="C239" s="9" t="s">
        <v>78</v>
      </c>
      <c r="D239" s="9" t="s">
        <v>75</v>
      </c>
      <c r="E239" s="9" t="s">
        <v>76</v>
      </c>
      <c r="F239" s="10">
        <v>45888</v>
      </c>
      <c r="G239" s="9">
        <v>40</v>
      </c>
      <c r="H239" s="9">
        <v>52</v>
      </c>
      <c r="I239" s="9">
        <v>37</v>
      </c>
      <c r="J239" s="9">
        <v>41</v>
      </c>
      <c r="K239" s="9">
        <v>84</v>
      </c>
      <c r="L239" s="11">
        <v>10000</v>
      </c>
    </row>
    <row r="240" spans="1:12" x14ac:dyDescent="0.35">
      <c r="A240" s="9" t="s">
        <v>519</v>
      </c>
      <c r="B240" s="9" t="s">
        <v>520</v>
      </c>
      <c r="C240" s="9" t="s">
        <v>85</v>
      </c>
      <c r="D240" s="9" t="s">
        <v>82</v>
      </c>
      <c r="E240" s="9" t="s">
        <v>83</v>
      </c>
      <c r="F240" s="10">
        <v>45889</v>
      </c>
      <c r="G240" s="9">
        <v>76</v>
      </c>
      <c r="H240" s="9">
        <v>24</v>
      </c>
      <c r="I240" s="9">
        <v>92</v>
      </c>
      <c r="J240" s="9">
        <v>70</v>
      </c>
      <c r="K240" s="9">
        <v>69</v>
      </c>
      <c r="L240" s="11">
        <v>0</v>
      </c>
    </row>
    <row r="241" spans="1:12" x14ac:dyDescent="0.35">
      <c r="A241" s="9" t="s">
        <v>521</v>
      </c>
      <c r="B241" s="9" t="s">
        <v>401</v>
      </c>
      <c r="C241" s="9" t="s">
        <v>89</v>
      </c>
      <c r="D241" s="9" t="s">
        <v>82</v>
      </c>
      <c r="E241" s="9" t="s">
        <v>83</v>
      </c>
      <c r="F241" s="10">
        <v>45890</v>
      </c>
      <c r="G241" s="9">
        <v>44</v>
      </c>
      <c r="H241" s="9">
        <v>50</v>
      </c>
      <c r="I241" s="9">
        <v>58</v>
      </c>
      <c r="J241" s="9">
        <v>43</v>
      </c>
      <c r="K241" s="9">
        <v>96</v>
      </c>
      <c r="L241" s="11">
        <v>30000</v>
      </c>
    </row>
    <row r="242" spans="1:12" x14ac:dyDescent="0.35">
      <c r="A242" s="9" t="s">
        <v>522</v>
      </c>
      <c r="B242" s="9" t="s">
        <v>523</v>
      </c>
      <c r="C242" s="9" t="s">
        <v>78</v>
      </c>
      <c r="D242" s="9" t="s">
        <v>82</v>
      </c>
      <c r="E242" s="9" t="s">
        <v>76</v>
      </c>
      <c r="F242" s="10">
        <v>45891</v>
      </c>
      <c r="G242" s="9">
        <v>66</v>
      </c>
      <c r="H242" s="9">
        <v>60</v>
      </c>
      <c r="I242" s="9">
        <v>53</v>
      </c>
      <c r="J242" s="9">
        <v>77</v>
      </c>
      <c r="K242" s="9">
        <v>73</v>
      </c>
      <c r="L242" s="11">
        <v>0</v>
      </c>
    </row>
    <row r="243" spans="1:12" x14ac:dyDescent="0.35">
      <c r="A243" s="9" t="s">
        <v>524</v>
      </c>
      <c r="B243" s="9" t="s">
        <v>525</v>
      </c>
      <c r="C243" s="9" t="s">
        <v>89</v>
      </c>
      <c r="D243" s="9" t="s">
        <v>82</v>
      </c>
      <c r="E243" s="9" t="s">
        <v>76</v>
      </c>
      <c r="F243" s="10">
        <v>45892</v>
      </c>
      <c r="G243" s="9">
        <v>75</v>
      </c>
      <c r="H243" s="9">
        <v>65</v>
      </c>
      <c r="I243" s="9">
        <v>58</v>
      </c>
      <c r="J243" s="9">
        <v>60</v>
      </c>
      <c r="K243" s="9">
        <v>84</v>
      </c>
      <c r="L243" s="11">
        <v>10000</v>
      </c>
    </row>
    <row r="244" spans="1:12" x14ac:dyDescent="0.35">
      <c r="A244" s="9" t="s">
        <v>526</v>
      </c>
      <c r="B244" s="9" t="s">
        <v>458</v>
      </c>
      <c r="C244" s="9" t="s">
        <v>74</v>
      </c>
      <c r="D244" s="9" t="s">
        <v>75</v>
      </c>
      <c r="E244" s="9" t="s">
        <v>83</v>
      </c>
      <c r="F244" s="10">
        <v>45892</v>
      </c>
      <c r="G244" s="9">
        <v>67</v>
      </c>
      <c r="H244" s="9">
        <v>65</v>
      </c>
      <c r="I244" s="9">
        <v>71</v>
      </c>
      <c r="J244" s="9">
        <v>85</v>
      </c>
      <c r="K244" s="9">
        <v>70</v>
      </c>
      <c r="L244" s="11">
        <v>0</v>
      </c>
    </row>
    <row r="245" spans="1:12" x14ac:dyDescent="0.35">
      <c r="A245" s="9" t="s">
        <v>527</v>
      </c>
      <c r="B245" s="9" t="s">
        <v>528</v>
      </c>
      <c r="C245" s="9" t="s">
        <v>89</v>
      </c>
      <c r="D245" s="9" t="s">
        <v>82</v>
      </c>
      <c r="E245" s="9" t="s">
        <v>83</v>
      </c>
      <c r="F245" s="10">
        <v>45893</v>
      </c>
      <c r="G245" s="9">
        <v>40</v>
      </c>
      <c r="H245" s="9">
        <v>55</v>
      </c>
      <c r="I245" s="9">
        <v>36</v>
      </c>
      <c r="J245" s="9">
        <v>53</v>
      </c>
      <c r="K245" s="9">
        <v>69</v>
      </c>
      <c r="L245" s="11">
        <v>0</v>
      </c>
    </row>
    <row r="246" spans="1:12" x14ac:dyDescent="0.35">
      <c r="A246" s="9" t="s">
        <v>529</v>
      </c>
      <c r="B246" s="9" t="s">
        <v>251</v>
      </c>
      <c r="C246" s="9" t="s">
        <v>78</v>
      </c>
      <c r="D246" s="9" t="s">
        <v>75</v>
      </c>
      <c r="E246" s="9" t="s">
        <v>76</v>
      </c>
      <c r="F246" s="10">
        <v>45894</v>
      </c>
      <c r="G246" s="9">
        <v>72</v>
      </c>
      <c r="H246" s="9">
        <v>67</v>
      </c>
      <c r="I246" s="9">
        <v>58</v>
      </c>
      <c r="J246" s="9">
        <v>71</v>
      </c>
      <c r="K246" s="9">
        <v>64</v>
      </c>
      <c r="L246" s="11">
        <v>0</v>
      </c>
    </row>
    <row r="247" spans="1:12" x14ac:dyDescent="0.35">
      <c r="A247" s="9" t="s">
        <v>530</v>
      </c>
      <c r="B247" s="9" t="s">
        <v>531</v>
      </c>
      <c r="C247" s="9" t="s">
        <v>74</v>
      </c>
      <c r="D247" s="9" t="s">
        <v>75</v>
      </c>
      <c r="E247" s="9" t="s">
        <v>76</v>
      </c>
      <c r="F247" s="10">
        <v>45895</v>
      </c>
      <c r="G247" s="9">
        <v>45</v>
      </c>
      <c r="H247" s="9">
        <v>49</v>
      </c>
      <c r="I247" s="9">
        <v>55</v>
      </c>
      <c r="J247" s="9">
        <v>47</v>
      </c>
      <c r="K247" s="9">
        <v>69</v>
      </c>
      <c r="L247" s="11">
        <v>0</v>
      </c>
    </row>
    <row r="248" spans="1:12" x14ac:dyDescent="0.35">
      <c r="A248" s="9" t="s">
        <v>532</v>
      </c>
      <c r="B248" s="9" t="s">
        <v>533</v>
      </c>
      <c r="C248" s="9" t="s">
        <v>78</v>
      </c>
      <c r="D248" s="9" t="s">
        <v>75</v>
      </c>
      <c r="E248" s="9" t="s">
        <v>76</v>
      </c>
      <c r="F248" s="10">
        <v>45895</v>
      </c>
      <c r="G248" s="9">
        <v>48</v>
      </c>
      <c r="H248" s="9">
        <v>54</v>
      </c>
      <c r="I248" s="9">
        <v>70</v>
      </c>
      <c r="J248" s="9">
        <v>61</v>
      </c>
      <c r="K248" s="9">
        <v>99</v>
      </c>
      <c r="L248" s="11">
        <v>0</v>
      </c>
    </row>
    <row r="249" spans="1:12" x14ac:dyDescent="0.35">
      <c r="A249" s="9" t="s">
        <v>534</v>
      </c>
      <c r="B249" s="9" t="s">
        <v>414</v>
      </c>
      <c r="C249" s="9" t="s">
        <v>89</v>
      </c>
      <c r="D249" s="9" t="s">
        <v>82</v>
      </c>
      <c r="E249" s="9" t="s">
        <v>83</v>
      </c>
      <c r="F249" s="10">
        <v>45896</v>
      </c>
      <c r="G249" s="9">
        <v>91</v>
      </c>
      <c r="H249" s="9">
        <v>55</v>
      </c>
      <c r="I249" s="9">
        <v>85</v>
      </c>
      <c r="J249" s="9">
        <v>69</v>
      </c>
      <c r="K249" s="9">
        <v>86</v>
      </c>
      <c r="L249" s="11">
        <v>0</v>
      </c>
    </row>
    <row r="250" spans="1:12" x14ac:dyDescent="0.35">
      <c r="A250" s="9" t="s">
        <v>535</v>
      </c>
      <c r="B250" s="9" t="s">
        <v>265</v>
      </c>
      <c r="C250" s="9" t="s">
        <v>95</v>
      </c>
      <c r="D250" s="9" t="s">
        <v>75</v>
      </c>
      <c r="E250" s="9" t="s">
        <v>76</v>
      </c>
      <c r="F250" s="10">
        <v>45897</v>
      </c>
      <c r="G250" s="9">
        <v>71</v>
      </c>
      <c r="H250" s="9">
        <v>64</v>
      </c>
      <c r="I250" s="9">
        <v>64</v>
      </c>
      <c r="J250" s="9">
        <v>64</v>
      </c>
      <c r="K250" s="9">
        <v>72</v>
      </c>
      <c r="L250" s="11">
        <v>0</v>
      </c>
    </row>
    <row r="251" spans="1:12" x14ac:dyDescent="0.35">
      <c r="A251" s="9" t="s">
        <v>536</v>
      </c>
      <c r="B251" s="9" t="s">
        <v>537</v>
      </c>
      <c r="C251" s="9" t="s">
        <v>85</v>
      </c>
      <c r="D251" s="9" t="s">
        <v>82</v>
      </c>
      <c r="E251" s="9" t="s">
        <v>83</v>
      </c>
      <c r="F251" s="10">
        <v>45898</v>
      </c>
      <c r="G251" s="9">
        <v>65</v>
      </c>
      <c r="H251" s="9">
        <v>52</v>
      </c>
      <c r="I251" s="9">
        <v>58</v>
      </c>
      <c r="J251" s="9">
        <v>79</v>
      </c>
      <c r="K251" s="9">
        <v>74</v>
      </c>
      <c r="L251" s="11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opLeftCell="A7" zoomScale="64" workbookViewId="0">
      <selection activeCell="C29" sqref="C29"/>
    </sheetView>
  </sheetViews>
  <sheetFormatPr defaultRowHeight="14.5" x14ac:dyDescent="0.35"/>
  <cols>
    <col min="1" max="1" width="8" customWidth="1"/>
    <col min="2" max="2" width="36" customWidth="1"/>
    <col min="3" max="3" width="18" customWidth="1"/>
    <col min="4" max="5" width="14" customWidth="1"/>
  </cols>
  <sheetData>
    <row r="1" spans="1:1" ht="21" x14ac:dyDescent="0.5">
      <c r="A1" s="1" t="s">
        <v>538</v>
      </c>
    </row>
    <row r="15" spans="1:1" ht="15.5" x14ac:dyDescent="0.35">
      <c r="A15" s="14" t="s">
        <v>539</v>
      </c>
    </row>
    <row r="17" spans="1:5" x14ac:dyDescent="0.35">
      <c r="B17" s="7" t="s">
        <v>59</v>
      </c>
      <c r="C17" s="17" t="s">
        <v>540</v>
      </c>
      <c r="D17" s="17" t="s">
        <v>541</v>
      </c>
      <c r="E17" s="17" t="s">
        <v>542</v>
      </c>
    </row>
    <row r="18" spans="1:5" x14ac:dyDescent="0.35">
      <c r="B18" s="16" t="s">
        <v>78</v>
      </c>
      <c r="C18" s="18"/>
      <c r="D18" s="18"/>
      <c r="E18" s="18"/>
    </row>
    <row r="19" spans="1:5" x14ac:dyDescent="0.35">
      <c r="B19" s="16" t="s">
        <v>85</v>
      </c>
      <c r="C19" s="18"/>
      <c r="D19" s="18"/>
      <c r="E19" s="18"/>
    </row>
    <row r="20" spans="1:5" x14ac:dyDescent="0.35">
      <c r="B20" s="16" t="s">
        <v>74</v>
      </c>
      <c r="C20" s="18"/>
      <c r="D20" s="18"/>
      <c r="E20" s="18"/>
    </row>
    <row r="21" spans="1:5" x14ac:dyDescent="0.35">
      <c r="B21" s="16" t="s">
        <v>95</v>
      </c>
      <c r="C21" s="18"/>
      <c r="D21" s="18"/>
      <c r="E21" s="18"/>
    </row>
    <row r="22" spans="1:5" x14ac:dyDescent="0.35">
      <c r="B22" s="18"/>
      <c r="C22" s="18"/>
      <c r="D22" s="18"/>
      <c r="E22" s="18"/>
    </row>
    <row r="24" spans="1:5" ht="15.5" x14ac:dyDescent="0.35">
      <c r="A24" s="14" t="s">
        <v>543</v>
      </c>
    </row>
    <row r="26" spans="1:5" x14ac:dyDescent="0.35">
      <c r="B26" s="15" t="s">
        <v>544</v>
      </c>
      <c r="C26" s="18"/>
    </row>
    <row r="27" spans="1:5" x14ac:dyDescent="0.35">
      <c r="B27" s="12" t="s">
        <v>58</v>
      </c>
      <c r="C27" s="18"/>
    </row>
    <row r="28" spans="1:5" x14ac:dyDescent="0.35">
      <c r="B28" s="12" t="s">
        <v>59</v>
      </c>
      <c r="C28" s="18"/>
    </row>
    <row r="29" spans="1:5" x14ac:dyDescent="0.35">
      <c r="B29" s="12" t="s">
        <v>61</v>
      </c>
      <c r="C29" s="18"/>
    </row>
    <row r="30" spans="1:5" x14ac:dyDescent="0.35">
      <c r="B30" s="12" t="s">
        <v>545</v>
      </c>
      <c r="C30" s="18"/>
    </row>
    <row r="31" spans="1:5" x14ac:dyDescent="0.35">
      <c r="B31" s="12" t="s">
        <v>546</v>
      </c>
      <c r="C31" s="18"/>
    </row>
    <row r="32" spans="1:5" x14ac:dyDescent="0.35">
      <c r="B32" s="12" t="s">
        <v>70</v>
      </c>
      <c r="C32" s="18"/>
    </row>
    <row r="33" spans="2:3" x14ac:dyDescent="0.35">
      <c r="B33" s="12" t="s">
        <v>547</v>
      </c>
      <c r="C33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Questions</vt:lpstr>
      <vt:lpstr>Student Data</vt:lpstr>
      <vt:lpstr>Q7</vt:lpstr>
      <vt:lpstr>Q3</vt:lpstr>
      <vt:lpstr>Q6</vt:lpstr>
      <vt:lpstr>Q2</vt:lpstr>
      <vt:lpstr>Q1</vt:lpstr>
      <vt:lpstr>Q11</vt:lpstr>
      <vt:lpstr>Q13</vt:lpstr>
      <vt:lpstr>Q12</vt:lpstr>
      <vt:lpstr>Answer Format -for Q12&amp;13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Shaik Shahid Ali</cp:lastModifiedBy>
  <cp:revision/>
  <dcterms:created xsi:type="dcterms:W3CDTF">2026-10-28T06:42:30Z</dcterms:created>
  <dcterms:modified xsi:type="dcterms:W3CDTF">2026-10-28T14:06:03Z</dcterms:modified>
  <cp:category/>
  <cp:contentStatus/>
</cp:coreProperties>
</file>